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die\sentinelle-app\docs\"/>
    </mc:Choice>
  </mc:AlternateContent>
  <xr:revisionPtr revIDLastSave="0" documentId="13_ncr:1_{965008FB-3CC7-4F49-8AF9-1B03D32B20B3}" xr6:coauthVersionLast="47" xr6:coauthVersionMax="47" xr10:uidLastSave="{00000000-0000-0000-0000-000000000000}"/>
  <bookViews>
    <workbookView xWindow="-108" yWindow="-108" windowWidth="23256" windowHeight="12456" xr2:uid="{C9F59849-38CD-4C86-B78D-F15D19E1F31E}"/>
  </bookViews>
  <sheets>
    <sheet name="Organigramme" sheetId="1" r:id="rId1"/>
    <sheet name="Arbitrage" sheetId="2" r:id="rId2"/>
    <sheet name="Legende" sheetId="3" r:id="rId3"/>
  </sheets>
  <definedNames>
    <definedName name="_xlnm._FilterDatabase" localSheetId="0" hidden="1">Organigramme!$A$3:$M$64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2" l="1"/>
  <c r="B43" i="2"/>
  <c r="B41" i="2"/>
  <c r="B40" i="2"/>
  <c r="B39" i="2"/>
  <c r="B38" i="2"/>
  <c r="B37" i="2"/>
  <c r="B33" i="2"/>
  <c r="B32" i="2"/>
  <c r="B31" i="2"/>
  <c r="B30" i="2"/>
  <c r="B25" i="2"/>
  <c r="B24" i="2"/>
  <c r="B23" i="2"/>
  <c r="B22" i="2"/>
  <c r="C17" i="2"/>
  <c r="B17" i="2"/>
  <c r="C16" i="2"/>
  <c r="B16" i="2"/>
  <c r="C15" i="2"/>
  <c r="B15" i="2"/>
  <c r="C10" i="2"/>
  <c r="B10" i="2"/>
  <c r="C9" i="2"/>
  <c r="B9" i="2"/>
  <c r="C8" i="2"/>
  <c r="B8" i="2"/>
  <c r="C7" i="2"/>
  <c r="B7" i="2"/>
  <c r="B11" i="2" s="1"/>
  <c r="D10" i="2" s="1"/>
  <c r="C6" i="2"/>
  <c r="B6" i="2"/>
  <c r="C5" i="2"/>
  <c r="C11" i="2" s="1"/>
  <c r="B5" i="2"/>
  <c r="D5" i="2" l="1"/>
  <c r="D6" i="2"/>
  <c r="D9" i="2"/>
  <c r="D8" i="2"/>
  <c r="D7" i="2"/>
</calcChain>
</file>

<file path=xl/sharedStrings.xml><?xml version="1.0" encoding="utf-8"?>
<sst xmlns="http://schemas.openxmlformats.org/spreadsheetml/2006/main" count="520" uniqueCount="263">
  <si>
    <t>ORGANIGRAMME DES MODULES - SENTINELLE / BOUSSOLE</t>
  </si>
  <si>
    <t>Colonnes A-H = etat des lieux (ne pas modifier).   Colonnes I-M en JAUNE = a remplir pour reorganiser.   La feuille Arbitrage se recalcule toute seule.</t>
  </si>
  <si>
    <t>Parcours</t>
  </si>
  <si>
    <t>N1 · Écran</t>
  </si>
  <si>
    <t>N2 · Bloc</t>
  </si>
  <si>
    <t>Ce que le dirigeant voit</t>
  </si>
  <si>
    <t>Donnée source (API)</t>
  </si>
  <si>
    <t>État</t>
  </si>
  <si>
    <t>Accès</t>
  </si>
  <si>
    <t>Waouh</t>
  </si>
  <si>
    <t>GARDER ?</t>
  </si>
  <si>
    <t>NOUVEAU PARCOURS</t>
  </si>
  <si>
    <t>ORDRE</t>
  </si>
  <si>
    <t>GRATUIT / PAYANT</t>
  </si>
  <si>
    <t>NOTES</t>
  </si>
  <si>
    <t>SENTINELLE</t>
  </si>
  <si>
    <t>1. Page de synthèse (hub)</t>
  </si>
  <si>
    <t>Titre + couleur d'aura</t>
  </si>
  <si>
    <t>« Voilà ce que les autres voient », coloré selon l'aura</t>
  </si>
  <si>
    <t>aura.couleur</t>
  </si>
  <si>
    <t>En ligne</t>
  </si>
  <si>
    <t>Gratuit</t>
  </si>
  <si>
    <t>Carte d'identité (déroulant)</t>
  </si>
  <si>
    <t>Nom, activité, ville, SIREN/NAF/ancienneté/effectif/dirigeant</t>
  </si>
  <si>
    <t>nom, activite, ville, identite</t>
  </si>
  <si>
    <t>Votre potentiel (cliquable)</t>
  </si>
  <si>
    <t>Pastille IVE + pastille Potentiel + « +X points possibles »</t>
  </si>
  <si>
    <t>indice.estime / indice.potentiel</t>
  </si>
  <si>
    <t>Ce que dit votre note (cliquable)</t>
  </si>
  <si>
    <t>Sens et définition de l'aura, valeurs, image perçue, ce qui ressort</t>
  </si>
  <si>
    <t>aura.sens, aura.definition, valeurs, imagePercue</t>
  </si>
  <si>
    <t>Vue d'ensemble — 5 tuiles</t>
  </si>
  <si>
    <t>Réputation, Visibilité, Sentiment, Positionnement, Confiance</t>
  </si>
  <si>
    <t>_auraCalc + synthVals()</t>
  </si>
  <si>
    <t>Évolution de ma note (déroulant)</t>
  </si>
  <si>
    <t>Courbe d'évolution de l'IVE dans le temps</t>
  </si>
  <si>
    <t>serie (Supabase)</t>
  </si>
  <si>
    <t>Notre méthodologie (déroulant)</t>
  </si>
  <si>
    <t>Les 5 familles de sources analysées</t>
  </si>
  <si>
    <t>statique</t>
  </si>
  <si>
    <t>À propos (déroulant)</t>
  </si>
  <si>
    <t>30 sources publiques, 100% données publiques, sources réelles trouvées</t>
  </si>
  <si>
    <t>sources</t>
  </si>
  <si>
    <t>Bouton « Passer à la BOUSSOLE »</t>
  </si>
  <si>
    <t>Seule sortie de la page (pleine largeur)</t>
  </si>
  <si>
    <t>—</t>
  </si>
  <si>
    <t>2. Votre potentiel (détail)</t>
  </si>
  <si>
    <t>Double pastille IVE → Potentiel</t>
  </si>
  <si>
    <t>Note actuelle et objectif, en grand</t>
  </si>
  <si>
    <t>Opportunités de progression</t>
  </si>
  <si>
    <t>Le NOMBRE seulement (« 6 leviers »), le détail est verrouillé</t>
  </si>
  <si>
    <t>agents.length</t>
  </si>
  <si>
    <t>Le coût de ne rien faire</t>
  </si>
  <si>
    <t>1-2 phrases : ce que l'inaction coûte</t>
  </si>
  <si>
    <t>coutInaction</t>
  </si>
  <si>
    <t>Comment monter votre note</t>
  </si>
  <si>
    <t>Les 2 meilleurs leviers, chiffrés en points, partiellement verrouillés</t>
  </si>
  <si>
    <t>_auraCalc.poids</t>
  </si>
  <si>
    <t>3. Votre identité publique</t>
  </si>
  <si>
    <t>Carte d'identité détaillée</t>
  </si>
  <si>
    <t>SIREN, dirigeant, ancienneté, effectif</t>
  </si>
  <si>
    <t>identite</t>
  </si>
  <si>
    <t>Valeurs affichées</t>
  </si>
  <si>
    <t>Ce que l'entreprise met en avant</t>
  </si>
  <si>
    <t>valeurs</t>
  </si>
  <si>
    <t>Image perçue</t>
  </si>
  <si>
    <t>Comment on la voit en ligne</t>
  </si>
  <si>
    <t>imagePercue</t>
  </si>
  <si>
    <t>4. Votre concurrence</t>
  </si>
  <si>
    <t>Recherche par mot-clé métier</t>
  </si>
  <si>
    <t>Le dirigeant saisit son métier (1-2 mots)</t>
  </si>
  <si>
    <t>saisie</t>
  </si>
  <si>
    <t>À DÉMÉNAGER</t>
  </si>
  <si>
    <t>Carte des concurrents (Leaflet)</t>
  </si>
  <si>
    <t>Carte avec vous + les 8 concurrents les plus proches</t>
  </si>
  <si>
    <t>api/concurrents</t>
  </si>
  <si>
    <t>Tableau comparatif</t>
  </si>
  <si>
    <t>Note, avis, présence, IVE, distance — du plus proche au plus loin</t>
  </si>
  <si>
    <t>5. Réputation &amp; vigilance</t>
  </si>
  <si>
    <t>Avis clients Google (déroulant)</t>
  </si>
  <si>
    <t>Synthèse des avis + note + volume</t>
  </si>
  <si>
    <t>avis, _auraCalc</t>
  </si>
  <si>
    <t>Présence — site &amp; réseaux (déroulant)</t>
  </si>
  <si>
    <t>État du site et des réseaux sociaux</t>
  </si>
  <si>
    <t>presence</t>
  </si>
  <si>
    <t>Plateformes du secteur (déroulant)</t>
  </si>
  <si>
    <t>Les 5 sites d'avis spécialisés du métier, classés</t>
  </si>
  <si>
    <t>plateformes</t>
  </si>
  <si>
    <t>Points de vigilance (déroulant)</t>
  </si>
  <si>
    <t>Signaux à surveiller + actions rapides</t>
  </si>
  <si>
    <t>vigilance, quickwins</t>
  </si>
  <si>
    <t>Teaser forces &amp; opportunités</t>
  </si>
  <si>
    <t>Encart verrouillé renvoyant à BOUSSOLE</t>
  </si>
  <si>
    <t>6. Synthèse finale</t>
  </si>
  <si>
    <t>Message de clôture + fierté</t>
  </si>
  <si>
    <t>« Voilà ce que révèle l'enquête publique » + valorisation</t>
  </si>
  <si>
    <t>fierte, cta</t>
  </si>
  <si>
    <t>Bouton récap par email</t>
  </si>
  <si>
    <t>Envoi du récapitulatif sur la boîte du dirigeant</t>
  </si>
  <si>
    <t>__sentRecap</t>
  </si>
  <si>
    <t>Intelligence stratégique (déroulant)</t>
  </si>
  <si>
    <t>Financier, concurrence, visibilité, dirigeant</t>
  </si>
  <si>
    <t>intel.*</t>
  </si>
  <si>
    <t>EMAIL</t>
  </si>
  <si>
    <t>Récap par email</t>
  </si>
  <si>
    <t>Email de synthèse</t>
  </si>
  <si>
    <t>Pastilles IVE + Potentiel, 5 tuiles, carte entreprise</t>
  </si>
  <si>
    <t>À CONSTRUIRE</t>
  </si>
  <si>
    <t>7. Les 5 questions</t>
  </si>
  <si>
    <t>Q1 — Vous êtes combien ?</t>
  </si>
  <si>
    <t>Curseur 1 à 10+ personnes</t>
  </si>
  <si>
    <t>saisie dirigeant</t>
  </si>
  <si>
    <t>À construire</t>
  </si>
  <si>
    <t>Q2 — Qu'est-ce qui vous mange le temps ?</t>
  </si>
  <si>
    <t>6 tuiles : devis/factures, téléphone, relances, planning, paperasse, recherche d'infos</t>
  </si>
  <si>
    <t>Q3 — Combien d'heures par semaine ?</t>
  </si>
  <si>
    <t>Curseur 1 h à 15 h</t>
  </si>
  <si>
    <t>Q4 — Qu'est-ce qui traîne ?</t>
  </si>
  <si>
    <t>5 tuiles, choix multiple : devis, appels, factures, décisions, rien</t>
  </si>
  <si>
    <t>Q5 — Une heure vaut combien ?</t>
  </si>
  <si>
    <t>Curseur 20 à 200 €, pré-positionné selon le métier</t>
  </si>
  <si>
    <t>8. VOTRE CHIFFRE</t>
  </si>
  <si>
    <t>Heures perdues + montant en euros</t>
  </si>
  <si>
    <t>« 1 350 h par an, soit 67 500 € » — le chiffre EST le sien</t>
  </si>
  <si>
    <t>calcul Q1 × Q3 × Q5</t>
  </si>
  <si>
    <t>9. Question de maturité</t>
  </si>
  <si>
    <t>Prêt à changer ?</t>
  </si>
  <si>
    <t>3 choix : maintenant / si c'est simple / besoin d'y réfléchir</t>
  </si>
  <si>
    <t>10. Aiguillage</t>
  </si>
  <si>
    <t>Orientation selon la réponse</t>
  </si>
  <si>
    <t>Chaud → offre directe | Tiède → les 7 outils | Froid → email + relance</t>
  </si>
  <si>
    <t>réponse Q6</t>
  </si>
  <si>
    <t>BOUSSOLE</t>
  </si>
  <si>
    <t>11. Page d'arrivée</t>
  </si>
  <si>
    <t>Offres tarifaires</t>
  </si>
  <si>
    <t>Mensuel 2,99 € / Annuel 24,90 € — prix à revoir (voir mon analyse)</t>
  </si>
  <si>
    <t>Payant</t>
  </si>
  <si>
    <t>Liste des 7 outils débloqués</t>
  </si>
  <si>
    <t>Cartes avec cadenas ouvert ; 3 sont déjà cliquables</t>
  </si>
  <si>
    <t>bouToolsHtml()</t>
  </si>
  <si>
    <t>12. Questionnaire Dirigeant</t>
  </si>
  <si>
    <t>BOUSSOLE Express (40 critères)</t>
  </si>
  <si>
    <t>1h30-2h, 1 session, indice indicatif + 3 à 5 quick wins</t>
  </si>
  <si>
    <t>saisie en entretien</t>
  </si>
  <si>
    <t>BOUSSOLE Complet (200 critères)</t>
  </si>
  <si>
    <t>2 à 4 sessions, indice définitif + plan 12 mois</t>
  </si>
  <si>
    <t>Indice intérieur (8 piliers)</t>
  </si>
  <si>
    <t>La note réelle de l'entreprise, justifiée critère par critère</t>
  </si>
  <si>
    <t>grille BOUSSOLE</t>
  </si>
  <si>
    <t>13. Le miroir</t>
  </si>
  <si>
    <t>Indice de vérité</t>
  </si>
  <si>
    <t>Écart entre l'image publique (IVE) et la réalité interne</t>
  </si>
  <si>
    <t>IVE + indice intérieur</t>
  </si>
  <si>
    <t>« Voilà ce qui se passe réellement »</t>
  </si>
  <si>
    <t>Page miroir à comparer avec « ce que les autres voient »</t>
  </si>
  <si>
    <t>miroir</t>
  </si>
  <si>
    <t>14. Plan &amp; ROI</t>
  </si>
  <si>
    <t>ROI — le prix de l'action</t>
  </si>
  <si>
    <t>Prix de l'inaction / prix de l'action / gain net / retour sur invest.</t>
  </si>
  <si>
    <t>miroir.roi</t>
  </si>
  <si>
    <t>Plan par paliers</t>
  </si>
  <si>
    <t>Frein → levier → mise en œuvre → indicateur</t>
  </si>
  <si>
    <t>miroir.plan</t>
  </si>
  <si>
    <t>Feuille de route + suivi</t>
  </si>
  <si>
    <t>Plan dans le temps + suivi de la note</t>
  </si>
  <si>
    <t>feuille-vivante</t>
  </si>
  <si>
    <t>15. Outils reçus de SENTINELLE</t>
  </si>
  <si>
    <t>Carte de la concurrence</t>
  </si>
  <si>
    <t>Reçoit la carte + le tableau retirés de SENTINELLE</t>
  </si>
  <si>
    <t>Vos forces (radar 8 piliers)</t>
  </si>
  <si>
    <t>Radar actuel vs potentiel — retiré de SENTINELLE, code conservé</t>
  </si>
  <si>
    <t>radar.actuel / radar.potentiel</t>
  </si>
  <si>
    <t>En réserve</t>
  </si>
  <si>
    <t>Outils IA détaillés</t>
  </si>
  <si>
    <t>Les 4 à 6 agents IA : quoi, comment, bénéfice</t>
  </si>
  <si>
    <t>agents[]</t>
  </si>
  <si>
    <t>Simulateur de gain</t>
  </si>
  <si>
    <t>3 curseurs → heures et euros par an (déjà connecté)</t>
  </si>
  <si>
    <t>simulateur, chiffre</t>
  </si>
  <si>
    <t>QUOTIDIEN</t>
  </si>
  <si>
    <t>16. Point du matin</t>
  </si>
  <si>
    <t>Climat équipe</t>
  </si>
  <si>
    <t>3 boutons (bien / moyen / tendu) — 1 tap</t>
  </si>
  <si>
    <t>saisie locale</t>
  </si>
  <si>
    <t>Pouls trésorerie</t>
  </si>
  <si>
    <t>3 boutons (monte / stable / descend) — 1 tap</t>
  </si>
  <si>
    <t>Priorité du jour (IA)</t>
  </si>
  <si>
    <t>UNE action priorisée par l'IA + ce qu'elle fait avancer</t>
  </si>
  <si>
    <t>api/priorite-jour</t>
  </si>
  <si>
    <t>Ma to-do du jour</t>
  </si>
  <si>
    <t>Tâches courtes, avec compteur « reportée N fois »</t>
  </si>
  <si>
    <t>Décisions en attente</t>
  </si>
  <si>
    <t>Avec leur ÂGE en jours — rouge à partir de 5 jours</t>
  </si>
  <si>
    <t>Cap du trimestre</t>
  </si>
  <si>
    <t>Palier, IAT, objectif, barre de progression</t>
  </si>
  <si>
    <t>cockpit</t>
  </si>
  <si>
    <t>Série / régularité</t>
  </si>
  <si>
    <t>Le « feu » qui récompense la constance</t>
  </si>
  <si>
    <t>streak local</t>
  </si>
  <si>
    <t>17. À CONSTRUIRE</t>
  </si>
  <si>
    <t>Ce qui traîne (la pile qui vieillit)</t>
  </si>
  <si>
    <t>Devis, appels, factures, décisions — triés par ancienneté et par coût</t>
  </si>
  <si>
    <t>Q4 + saisie quotidienne</t>
  </si>
  <si>
    <t>À décider</t>
  </si>
  <si>
    <t>CONSULTANT</t>
  </si>
  <si>
    <t>18. Rapport complet</t>
  </si>
  <si>
    <t>Le détail de l'enquête</t>
  </si>
  <si>
    <t>Rapport long, 4 chapitres (identité, forces, réputation, opportunités)</t>
  </si>
  <si>
    <t>render()</t>
  </si>
  <si>
    <t>Admin</t>
  </si>
  <si>
    <t>Avant / Après</t>
  </si>
  <si>
    <t>Journée type aujourd'hui vs avec l'IA</t>
  </si>
  <si>
    <t>avantApres</t>
  </si>
  <si>
    <t>Archétype &amp; posture</t>
  </si>
  <si>
    <t>L'archétype retenu et le discours associé</t>
  </si>
  <si>
    <t>archetype, posture</t>
  </si>
  <si>
    <t>ARBITRAGE - se recalcule automatiquement quand tu remplis Organigramme</t>
  </si>
  <si>
    <t>1. OU SONT LES BLOCS AUJOURD HUI</t>
  </si>
  <si>
    <t>Nb de blocs</t>
  </si>
  <si>
    <t>Dont waouh 3</t>
  </si>
  <si>
    <t>% du total</t>
  </si>
  <si>
    <t>TOTAL</t>
  </si>
  <si>
    <t>2. GRATUIT / PAYANT (etat actuel)</t>
  </si>
  <si>
    <t>Acces</t>
  </si>
  <si>
    <t>3. ETAT D AVANCEMENT</t>
  </si>
  <si>
    <t>Etat</t>
  </si>
  <si>
    <t>4. TES DECISIONS (se remplit avec les colonnes jaunes)</t>
  </si>
  <si>
    <t>Decision</t>
  </si>
  <si>
    <t>Garder</t>
  </si>
  <si>
    <t>Supprimer</t>
  </si>
  <si>
    <t>Fusionner</t>
  </si>
  <si>
    <t>5. NOUVELLE REPARTITION SOUHAITEE</t>
  </si>
  <si>
    <t>Parcours cible</t>
  </si>
  <si>
    <t>Passes en Gratuit</t>
  </si>
  <si>
    <t>Passes en Payant</t>
  </si>
  <si>
    <t>Ces 2 lignes lisent la colonne L de l Organigramme.</t>
  </si>
  <si>
    <t>MODE D EMPLOI</t>
  </si>
  <si>
    <t>À QUOI ÇA SERT</t>
  </si>
  <si>
    <t>Inventaire de TOUS les blocs de résultat de l'appli, pour décider ce qu'on garde, ce qu'on déplace, et ce qui reste gratuit.</t>
  </si>
  <si>
    <t>COLONNES À REMPLIR</t>
  </si>
  <si>
    <t>Les 5 colonnes JAUNES (I à M). Le reste est l'état des lieux — ne pas y toucher.</t>
  </si>
  <si>
    <t xml:space="preserve">  I · GARDER ?</t>
  </si>
  <si>
    <t>Garder / Supprimer / Fusionner / Déplacer   (liste déroulante)</t>
  </si>
  <si>
    <t xml:space="preserve">  J · NOUVEAU PARCOURS</t>
  </si>
  <si>
    <t>SENTINELLE / BOUSSOLE / QUOTIDIEN / EMAIL / Supprimé   (liste déroulante)</t>
  </si>
  <si>
    <t xml:space="preserve">  K · ORDRE</t>
  </si>
  <si>
    <t>Un numéro d'ordre d'affichage dans le parcours choisi (1, 2, 3…)</t>
  </si>
  <si>
    <t xml:space="preserve">  L · GRATUIT / PAYANT</t>
  </si>
  <si>
    <t>Gratuit / Payant   (liste déroulante)</t>
  </si>
  <si>
    <t xml:space="preserve">  M · NOTES</t>
  </si>
  <si>
    <t>Texte libre</t>
  </si>
  <si>
    <t>COLONNE « WAOUH »</t>
  </si>
  <si>
    <t>3 = effet fort (à montrer en démo)  |  2 = utile  |  1 = secondaire</t>
  </si>
  <si>
    <t>COLONNE « ÉTAT »</t>
  </si>
  <si>
    <t>En ligne = déjà codé  |  À construire = pas encore  |  À DÉMÉNAGER = décidé mais pas fait  |  En réserve = code conservé mais non affiché</t>
  </si>
  <si>
    <t>COULEURS DE LIGNE</t>
  </si>
  <si>
    <t>Saumon = SENTINELLE  |  Bleu = BOUSSOLE  |  Vert = QUOTIDIEN  |  Jaune = à construire  |  Gris = email / consultant</t>
  </si>
  <si>
    <t>ASTUCE</t>
  </si>
  <si>
    <t>Utilise les filtres de la ligne d'en-tête pour isoler un parcours, ou trier par « Waouh » pour voir les blocs les plus forts.</t>
  </si>
  <si>
    <t>EXEMPLE DE SAISIE</t>
  </si>
  <si>
    <t>Déplacer</t>
  </si>
  <si>
    <t>À remonter juste après le questionnaire</t>
  </si>
  <si>
    <t>Supprimé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</si>
</sst>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0"/>
      <color rgb="FFFFFFFF"/>
      <name val="Arial"/>
      <family val="2"/>
    </font>
    <font>
      <b/>
      <sz val="9.5"/>
      <color theme="1"/>
      <name val="Arial"/>
      <family val="2"/>
    </font>
    <font>
      <sz val="9.5"/>
      <color theme="1"/>
      <name val="Arial"/>
      <family val="2"/>
    </font>
    <font>
      <sz val="9.5"/>
      <color rgb="FF0000FF"/>
      <name val="Arial"/>
      <family val="2"/>
    </font>
    <font>
      <b/>
      <sz val="13"/>
      <color rgb="FFFFFFFF"/>
      <name val="Arial"/>
      <family val="2"/>
    </font>
    <font>
      <sz val="11"/>
      <color theme="1"/>
      <name val="Arial"/>
      <family val="2"/>
    </font>
    <font>
      <b/>
      <sz val="11"/>
      <color rgb="FFE8541A"/>
      <name val="Arial"/>
      <family val="2"/>
    </font>
    <font>
      <b/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DED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7EEFB"/>
        <bgColor indexed="64"/>
      </patternFill>
    </fill>
    <fill>
      <patternFill patternType="solid">
        <fgColor rgb="FFE8F6E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4" fillId="7" borderId="1" xfId="0" applyFont="1" applyFill="1" applyBorder="1" applyAlignment="1">
      <alignment vertical="top"/>
    </xf>
    <xf numFmtId="0" fontId="4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vertical="top"/>
    </xf>
    <xf numFmtId="0" fontId="4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vertical="top"/>
    </xf>
    <xf numFmtId="0" fontId="4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top"/>
    </xf>
    <xf numFmtId="0" fontId="8" fillId="0" borderId="0" xfId="0" applyFont="1"/>
    <xf numFmtId="0" fontId="9" fillId="0" borderId="0" xfId="0" applyFont="1"/>
    <xf numFmtId="0" fontId="3" fillId="2" borderId="0" xfId="0" applyFont="1" applyFill="1" applyAlignment="1">
      <alignment horizontal="center"/>
    </xf>
    <xf numFmtId="0" fontId="10" fillId="0" borderId="0" xfId="0" applyFont="1"/>
    <xf numFmtId="164" fontId="8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vertical="top" wrapText="1"/>
    </xf>
    <xf numFmtId="0" fontId="3" fillId="3" borderId="0" xfId="0" applyFont="1" applyFill="1"/>
    <xf numFmtId="0" fontId="14" fillId="5" borderId="0" xfId="0" applyFont="1" applyFill="1"/>
    <xf numFmtId="0" fontId="1" fillId="2" borderId="0" xfId="0" applyFont="1" applyFill="1"/>
    <xf numFmtId="0" fontId="2" fillId="0" borderId="0" xfId="0" applyFont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0D48-DA50-4DFB-80BC-F6DFFD020319}">
  <dimension ref="A1:M64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A4" sqref="A4"/>
    </sheetView>
  </sheetViews>
  <sheetFormatPr baseColWidth="10" defaultRowHeight="14.4" x14ac:dyDescent="0.3"/>
  <cols>
    <col min="1" max="1" width="15.77734375" customWidth="1"/>
    <col min="2" max="2" width="30.77734375" customWidth="1"/>
    <col min="3" max="3" width="34.77734375" customWidth="1"/>
    <col min="4" max="4" width="56.77734375" customWidth="1"/>
    <col min="5" max="5" width="26.77734375" customWidth="1"/>
    <col min="6" max="6" width="15.77734375" customWidth="1"/>
    <col min="7" max="7" width="11.77734375" customWidth="1"/>
    <col min="8" max="8" width="7.77734375" customWidth="1"/>
    <col min="9" max="9" width="13.77734375" customWidth="1"/>
    <col min="10" max="10" width="19.77734375" customWidth="1"/>
    <col min="11" max="11" width="8.77734375" customWidth="1"/>
    <col min="12" max="12" width="18.77734375" customWidth="1"/>
    <col min="13" max="13" width="34.77734375" customWidth="1"/>
  </cols>
  <sheetData>
    <row r="1" spans="1:13" ht="25.95" customHeight="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x14ac:dyDescent="0.3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31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ht="30" customHeight="1" x14ac:dyDescent="0.3">
      <c r="A4" s="3" t="s">
        <v>15</v>
      </c>
      <c r="B4" s="4" t="s">
        <v>16</v>
      </c>
      <c r="C4" s="4" t="s">
        <v>17</v>
      </c>
      <c r="D4" s="5" t="s">
        <v>18</v>
      </c>
      <c r="E4" s="5" t="s">
        <v>19</v>
      </c>
      <c r="F4" s="6" t="s">
        <v>20</v>
      </c>
      <c r="G4" s="6" t="s">
        <v>21</v>
      </c>
      <c r="H4" s="6">
        <v>3</v>
      </c>
      <c r="I4" s="7"/>
      <c r="J4" s="7"/>
      <c r="K4" s="7"/>
      <c r="L4" s="7"/>
      <c r="M4" s="7"/>
    </row>
    <row r="5" spans="1:13" ht="30" customHeight="1" x14ac:dyDescent="0.3">
      <c r="A5" s="3" t="s">
        <v>15</v>
      </c>
      <c r="B5" s="4" t="s">
        <v>16</v>
      </c>
      <c r="C5" s="4" t="s">
        <v>22</v>
      </c>
      <c r="D5" s="5" t="s">
        <v>23</v>
      </c>
      <c r="E5" s="5" t="s">
        <v>24</v>
      </c>
      <c r="F5" s="6" t="s">
        <v>20</v>
      </c>
      <c r="G5" s="6" t="s">
        <v>21</v>
      </c>
      <c r="H5" s="6">
        <v>1</v>
      </c>
      <c r="I5" s="7"/>
      <c r="J5" s="7"/>
      <c r="K5" s="7"/>
      <c r="L5" s="7"/>
      <c r="M5" s="7"/>
    </row>
    <row r="6" spans="1:13" ht="30" customHeight="1" x14ac:dyDescent="0.3">
      <c r="A6" s="3" t="s">
        <v>15</v>
      </c>
      <c r="B6" s="4" t="s">
        <v>16</v>
      </c>
      <c r="C6" s="4" t="s">
        <v>25</v>
      </c>
      <c r="D6" s="5" t="s">
        <v>26</v>
      </c>
      <c r="E6" s="5" t="s">
        <v>27</v>
      </c>
      <c r="F6" s="6" t="s">
        <v>20</v>
      </c>
      <c r="G6" s="6" t="s">
        <v>21</v>
      </c>
      <c r="H6" s="6">
        <v>3</v>
      </c>
      <c r="I6" s="7"/>
      <c r="J6" s="7"/>
      <c r="K6" s="7"/>
      <c r="L6" s="7"/>
      <c r="M6" s="7"/>
    </row>
    <row r="7" spans="1:13" ht="30" customHeight="1" x14ac:dyDescent="0.3">
      <c r="A7" s="3" t="s">
        <v>15</v>
      </c>
      <c r="B7" s="4" t="s">
        <v>16</v>
      </c>
      <c r="C7" s="4" t="s">
        <v>28</v>
      </c>
      <c r="D7" s="5" t="s">
        <v>29</v>
      </c>
      <c r="E7" s="5" t="s">
        <v>30</v>
      </c>
      <c r="F7" s="6" t="s">
        <v>20</v>
      </c>
      <c r="G7" s="6" t="s">
        <v>21</v>
      </c>
      <c r="H7" s="6">
        <v>3</v>
      </c>
      <c r="I7" s="7"/>
      <c r="J7" s="7"/>
      <c r="K7" s="7"/>
      <c r="L7" s="7"/>
      <c r="M7" s="7"/>
    </row>
    <row r="8" spans="1:13" ht="30" customHeight="1" x14ac:dyDescent="0.3">
      <c r="A8" s="3" t="s">
        <v>15</v>
      </c>
      <c r="B8" s="4" t="s">
        <v>16</v>
      </c>
      <c r="C8" s="4" t="s">
        <v>31</v>
      </c>
      <c r="D8" s="5" t="s">
        <v>32</v>
      </c>
      <c r="E8" s="5" t="s">
        <v>33</v>
      </c>
      <c r="F8" s="6" t="s">
        <v>20</v>
      </c>
      <c r="G8" s="6" t="s">
        <v>21</v>
      </c>
      <c r="H8" s="6">
        <v>2</v>
      </c>
      <c r="I8" s="7"/>
      <c r="J8" s="7"/>
      <c r="K8" s="7"/>
      <c r="L8" s="7"/>
      <c r="M8" s="7"/>
    </row>
    <row r="9" spans="1:13" ht="30" customHeight="1" x14ac:dyDescent="0.3">
      <c r="A9" s="3" t="s">
        <v>15</v>
      </c>
      <c r="B9" s="4" t="s">
        <v>16</v>
      </c>
      <c r="C9" s="4" t="s">
        <v>34</v>
      </c>
      <c r="D9" s="5" t="s">
        <v>35</v>
      </c>
      <c r="E9" s="5" t="s">
        <v>36</v>
      </c>
      <c r="F9" s="6" t="s">
        <v>20</v>
      </c>
      <c r="G9" s="6" t="s">
        <v>21</v>
      </c>
      <c r="H9" s="6">
        <v>2</v>
      </c>
      <c r="I9" s="7"/>
      <c r="J9" s="7"/>
      <c r="K9" s="7"/>
      <c r="L9" s="7"/>
      <c r="M9" s="7"/>
    </row>
    <row r="10" spans="1:13" ht="30" customHeight="1" x14ac:dyDescent="0.3">
      <c r="A10" s="3" t="s">
        <v>15</v>
      </c>
      <c r="B10" s="4" t="s">
        <v>16</v>
      </c>
      <c r="C10" s="4" t="s">
        <v>37</v>
      </c>
      <c r="D10" s="5" t="s">
        <v>38</v>
      </c>
      <c r="E10" s="5" t="s">
        <v>39</v>
      </c>
      <c r="F10" s="6" t="s">
        <v>20</v>
      </c>
      <c r="G10" s="6" t="s">
        <v>21</v>
      </c>
      <c r="H10" s="6">
        <v>1</v>
      </c>
      <c r="I10" s="7"/>
      <c r="J10" s="7"/>
      <c r="K10" s="7"/>
      <c r="L10" s="7"/>
      <c r="M10" s="7"/>
    </row>
    <row r="11" spans="1:13" ht="30" customHeight="1" x14ac:dyDescent="0.3">
      <c r="A11" s="3" t="s">
        <v>15</v>
      </c>
      <c r="B11" s="4" t="s">
        <v>16</v>
      </c>
      <c r="C11" s="4" t="s">
        <v>40</v>
      </c>
      <c r="D11" s="5" t="s">
        <v>41</v>
      </c>
      <c r="E11" s="5" t="s">
        <v>42</v>
      </c>
      <c r="F11" s="6" t="s">
        <v>20</v>
      </c>
      <c r="G11" s="6" t="s">
        <v>21</v>
      </c>
      <c r="H11" s="6">
        <v>1</v>
      </c>
      <c r="I11" s="7"/>
      <c r="J11" s="7"/>
      <c r="K11" s="7"/>
      <c r="L11" s="7"/>
      <c r="M11" s="7"/>
    </row>
    <row r="12" spans="1:13" ht="30" customHeight="1" x14ac:dyDescent="0.3">
      <c r="A12" s="3" t="s">
        <v>15</v>
      </c>
      <c r="B12" s="4" t="s">
        <v>16</v>
      </c>
      <c r="C12" s="4" t="s">
        <v>43</v>
      </c>
      <c r="D12" s="5" t="s">
        <v>44</v>
      </c>
      <c r="E12" s="5" t="s">
        <v>45</v>
      </c>
      <c r="F12" s="6" t="s">
        <v>20</v>
      </c>
      <c r="G12" s="6" t="s">
        <v>21</v>
      </c>
      <c r="H12" s="6">
        <v>1</v>
      </c>
      <c r="I12" s="7"/>
      <c r="J12" s="7"/>
      <c r="K12" s="7"/>
      <c r="L12" s="7"/>
      <c r="M12" s="7"/>
    </row>
    <row r="13" spans="1:13" ht="30" customHeight="1" x14ac:dyDescent="0.3">
      <c r="A13" s="3" t="s">
        <v>15</v>
      </c>
      <c r="B13" s="4" t="s">
        <v>46</v>
      </c>
      <c r="C13" s="4" t="s">
        <v>47</v>
      </c>
      <c r="D13" s="5" t="s">
        <v>48</v>
      </c>
      <c r="E13" s="5" t="s">
        <v>27</v>
      </c>
      <c r="F13" s="6" t="s">
        <v>20</v>
      </c>
      <c r="G13" s="6" t="s">
        <v>21</v>
      </c>
      <c r="H13" s="6">
        <v>2</v>
      </c>
      <c r="I13" s="7"/>
      <c r="J13" s="7"/>
      <c r="K13" s="7"/>
      <c r="L13" s="7"/>
      <c r="M13" s="7"/>
    </row>
    <row r="14" spans="1:13" ht="30" customHeight="1" x14ac:dyDescent="0.3">
      <c r="A14" s="3" t="s">
        <v>15</v>
      </c>
      <c r="B14" s="4" t="s">
        <v>46</v>
      </c>
      <c r="C14" s="4" t="s">
        <v>49</v>
      </c>
      <c r="D14" s="5" t="s">
        <v>50</v>
      </c>
      <c r="E14" s="5" t="s">
        <v>51</v>
      </c>
      <c r="F14" s="6" t="s">
        <v>20</v>
      </c>
      <c r="G14" s="6" t="s">
        <v>21</v>
      </c>
      <c r="H14" s="6">
        <v>2</v>
      </c>
      <c r="I14" s="7"/>
      <c r="J14" s="7"/>
      <c r="K14" s="7"/>
      <c r="L14" s="7"/>
      <c r="M14" s="7"/>
    </row>
    <row r="15" spans="1:13" ht="30" customHeight="1" x14ac:dyDescent="0.3">
      <c r="A15" s="3" t="s">
        <v>15</v>
      </c>
      <c r="B15" s="4" t="s">
        <v>46</v>
      </c>
      <c r="C15" s="4" t="s">
        <v>52</v>
      </c>
      <c r="D15" s="5" t="s">
        <v>53</v>
      </c>
      <c r="E15" s="5" t="s">
        <v>54</v>
      </c>
      <c r="F15" s="6" t="s">
        <v>20</v>
      </c>
      <c r="G15" s="6" t="s">
        <v>21</v>
      </c>
      <c r="H15" s="6">
        <v>3</v>
      </c>
      <c r="I15" s="7"/>
      <c r="J15" s="7"/>
      <c r="K15" s="7"/>
      <c r="L15" s="7"/>
      <c r="M15" s="7"/>
    </row>
    <row r="16" spans="1:13" ht="30" customHeight="1" x14ac:dyDescent="0.3">
      <c r="A16" s="3" t="s">
        <v>15</v>
      </c>
      <c r="B16" s="4" t="s">
        <v>46</v>
      </c>
      <c r="C16" s="4" t="s">
        <v>55</v>
      </c>
      <c r="D16" s="5" t="s">
        <v>56</v>
      </c>
      <c r="E16" s="5" t="s">
        <v>57</v>
      </c>
      <c r="F16" s="6" t="s">
        <v>20</v>
      </c>
      <c r="G16" s="6" t="s">
        <v>21</v>
      </c>
      <c r="H16" s="6">
        <v>2</v>
      </c>
      <c r="I16" s="7"/>
      <c r="J16" s="7"/>
      <c r="K16" s="7"/>
      <c r="L16" s="7"/>
      <c r="M16" s="7"/>
    </row>
    <row r="17" spans="1:13" ht="30" customHeight="1" x14ac:dyDescent="0.3">
      <c r="A17" s="3" t="s">
        <v>15</v>
      </c>
      <c r="B17" s="4" t="s">
        <v>58</v>
      </c>
      <c r="C17" s="4" t="s">
        <v>59</v>
      </c>
      <c r="D17" s="5" t="s">
        <v>60</v>
      </c>
      <c r="E17" s="5" t="s">
        <v>61</v>
      </c>
      <c r="F17" s="6" t="s">
        <v>20</v>
      </c>
      <c r="G17" s="6" t="s">
        <v>21</v>
      </c>
      <c r="H17" s="6">
        <v>1</v>
      </c>
      <c r="I17" s="7"/>
      <c r="J17" s="7"/>
      <c r="K17" s="7"/>
      <c r="L17" s="7"/>
      <c r="M17" s="7"/>
    </row>
    <row r="18" spans="1:13" ht="30" customHeight="1" x14ac:dyDescent="0.3">
      <c r="A18" s="3" t="s">
        <v>15</v>
      </c>
      <c r="B18" s="4" t="s">
        <v>58</v>
      </c>
      <c r="C18" s="4" t="s">
        <v>62</v>
      </c>
      <c r="D18" s="5" t="s">
        <v>63</v>
      </c>
      <c r="E18" s="5" t="s">
        <v>64</v>
      </c>
      <c r="F18" s="6" t="s">
        <v>20</v>
      </c>
      <c r="G18" s="6" t="s">
        <v>21</v>
      </c>
      <c r="H18" s="6">
        <v>1</v>
      </c>
      <c r="I18" s="7"/>
      <c r="J18" s="7"/>
      <c r="K18" s="7"/>
      <c r="L18" s="7"/>
      <c r="M18" s="7"/>
    </row>
    <row r="19" spans="1:13" ht="30" customHeight="1" x14ac:dyDescent="0.3">
      <c r="A19" s="3" t="s">
        <v>15</v>
      </c>
      <c r="B19" s="4" t="s">
        <v>58</v>
      </c>
      <c r="C19" s="4" t="s">
        <v>65</v>
      </c>
      <c r="D19" s="5" t="s">
        <v>66</v>
      </c>
      <c r="E19" s="5" t="s">
        <v>67</v>
      </c>
      <c r="F19" s="6" t="s">
        <v>20</v>
      </c>
      <c r="G19" s="6" t="s">
        <v>21</v>
      </c>
      <c r="H19" s="6">
        <v>1</v>
      </c>
      <c r="I19" s="7"/>
      <c r="J19" s="7"/>
      <c r="K19" s="7"/>
      <c r="L19" s="7"/>
      <c r="M19" s="7"/>
    </row>
    <row r="20" spans="1:13" ht="30" customHeight="1" x14ac:dyDescent="0.3">
      <c r="A20" s="3" t="s">
        <v>15</v>
      </c>
      <c r="B20" s="4" t="s">
        <v>68</v>
      </c>
      <c r="C20" s="4" t="s">
        <v>69</v>
      </c>
      <c r="D20" s="5" t="s">
        <v>70</v>
      </c>
      <c r="E20" s="5" t="s">
        <v>71</v>
      </c>
      <c r="F20" s="6" t="s">
        <v>72</v>
      </c>
      <c r="G20" s="6" t="s">
        <v>21</v>
      </c>
      <c r="H20" s="6">
        <v>1</v>
      </c>
      <c r="I20" s="7"/>
      <c r="J20" s="7"/>
      <c r="K20" s="7"/>
      <c r="L20" s="7"/>
      <c r="M20" s="7"/>
    </row>
    <row r="21" spans="1:13" ht="30" customHeight="1" x14ac:dyDescent="0.3">
      <c r="A21" s="3" t="s">
        <v>15</v>
      </c>
      <c r="B21" s="4" t="s">
        <v>68</v>
      </c>
      <c r="C21" s="4" t="s">
        <v>73</v>
      </c>
      <c r="D21" s="5" t="s">
        <v>74</v>
      </c>
      <c r="E21" s="5" t="s">
        <v>75</v>
      </c>
      <c r="F21" s="6" t="s">
        <v>72</v>
      </c>
      <c r="G21" s="6" t="s">
        <v>21</v>
      </c>
      <c r="H21" s="6">
        <v>3</v>
      </c>
      <c r="I21" s="7"/>
      <c r="J21" s="7"/>
      <c r="K21" s="7"/>
      <c r="L21" s="7"/>
      <c r="M21" s="7"/>
    </row>
    <row r="22" spans="1:13" ht="30" customHeight="1" x14ac:dyDescent="0.3">
      <c r="A22" s="3" t="s">
        <v>15</v>
      </c>
      <c r="B22" s="4" t="s">
        <v>68</v>
      </c>
      <c r="C22" s="4" t="s">
        <v>76</v>
      </c>
      <c r="D22" s="5" t="s">
        <v>77</v>
      </c>
      <c r="E22" s="5" t="s">
        <v>75</v>
      </c>
      <c r="F22" s="6" t="s">
        <v>72</v>
      </c>
      <c r="G22" s="6" t="s">
        <v>21</v>
      </c>
      <c r="H22" s="6">
        <v>3</v>
      </c>
      <c r="I22" s="7"/>
      <c r="J22" s="7"/>
      <c r="K22" s="7"/>
      <c r="L22" s="7"/>
      <c r="M22" s="7"/>
    </row>
    <row r="23" spans="1:13" ht="30" customHeight="1" x14ac:dyDescent="0.3">
      <c r="A23" s="3" t="s">
        <v>15</v>
      </c>
      <c r="B23" s="4" t="s">
        <v>78</v>
      </c>
      <c r="C23" s="4" t="s">
        <v>79</v>
      </c>
      <c r="D23" s="5" t="s">
        <v>80</v>
      </c>
      <c r="E23" s="5" t="s">
        <v>81</v>
      </c>
      <c r="F23" s="6" t="s">
        <v>20</v>
      </c>
      <c r="G23" s="6" t="s">
        <v>21</v>
      </c>
      <c r="H23" s="6">
        <v>2</v>
      </c>
      <c r="I23" s="7"/>
      <c r="J23" s="7"/>
      <c r="K23" s="7"/>
      <c r="L23" s="7"/>
      <c r="M23" s="7"/>
    </row>
    <row r="24" spans="1:13" ht="30" customHeight="1" x14ac:dyDescent="0.3">
      <c r="A24" s="3" t="s">
        <v>15</v>
      </c>
      <c r="B24" s="4" t="s">
        <v>78</v>
      </c>
      <c r="C24" s="4" t="s">
        <v>82</v>
      </c>
      <c r="D24" s="5" t="s">
        <v>83</v>
      </c>
      <c r="E24" s="5" t="s">
        <v>84</v>
      </c>
      <c r="F24" s="6" t="s">
        <v>20</v>
      </c>
      <c r="G24" s="6" t="s">
        <v>21</v>
      </c>
      <c r="H24" s="6">
        <v>2</v>
      </c>
      <c r="I24" s="7"/>
      <c r="J24" s="7"/>
      <c r="K24" s="7"/>
      <c r="L24" s="7"/>
      <c r="M24" s="7"/>
    </row>
    <row r="25" spans="1:13" ht="30" customHeight="1" x14ac:dyDescent="0.3">
      <c r="A25" s="3" t="s">
        <v>15</v>
      </c>
      <c r="B25" s="4" t="s">
        <v>78</v>
      </c>
      <c r="C25" s="4" t="s">
        <v>85</v>
      </c>
      <c r="D25" s="5" t="s">
        <v>86</v>
      </c>
      <c r="E25" s="5" t="s">
        <v>87</v>
      </c>
      <c r="F25" s="6" t="s">
        <v>20</v>
      </c>
      <c r="G25" s="6" t="s">
        <v>21</v>
      </c>
      <c r="H25" s="6">
        <v>2</v>
      </c>
      <c r="I25" s="7"/>
      <c r="J25" s="7"/>
      <c r="K25" s="7"/>
      <c r="L25" s="7"/>
      <c r="M25" s="7"/>
    </row>
    <row r="26" spans="1:13" ht="30" customHeight="1" x14ac:dyDescent="0.3">
      <c r="A26" s="3" t="s">
        <v>15</v>
      </c>
      <c r="B26" s="4" t="s">
        <v>78</v>
      </c>
      <c r="C26" s="4" t="s">
        <v>88</v>
      </c>
      <c r="D26" s="5" t="s">
        <v>89</v>
      </c>
      <c r="E26" s="5" t="s">
        <v>90</v>
      </c>
      <c r="F26" s="6" t="s">
        <v>20</v>
      </c>
      <c r="G26" s="6" t="s">
        <v>21</v>
      </c>
      <c r="H26" s="6">
        <v>2</v>
      </c>
      <c r="I26" s="7"/>
      <c r="J26" s="7"/>
      <c r="K26" s="7"/>
      <c r="L26" s="7"/>
      <c r="M26" s="7"/>
    </row>
    <row r="27" spans="1:13" ht="30" customHeight="1" x14ac:dyDescent="0.3">
      <c r="A27" s="3" t="s">
        <v>15</v>
      </c>
      <c r="B27" s="4" t="s">
        <v>78</v>
      </c>
      <c r="C27" s="4" t="s">
        <v>91</v>
      </c>
      <c r="D27" s="5" t="s">
        <v>92</v>
      </c>
      <c r="E27" s="5" t="s">
        <v>45</v>
      </c>
      <c r="F27" s="6" t="s">
        <v>20</v>
      </c>
      <c r="G27" s="6" t="s">
        <v>21</v>
      </c>
      <c r="H27" s="6">
        <v>1</v>
      </c>
      <c r="I27" s="7"/>
      <c r="J27" s="7"/>
      <c r="K27" s="7"/>
      <c r="L27" s="7"/>
      <c r="M27" s="7"/>
    </row>
    <row r="28" spans="1:13" ht="30" customHeight="1" x14ac:dyDescent="0.3">
      <c r="A28" s="3" t="s">
        <v>15</v>
      </c>
      <c r="B28" s="4" t="s">
        <v>93</v>
      </c>
      <c r="C28" s="4" t="s">
        <v>94</v>
      </c>
      <c r="D28" s="5" t="s">
        <v>95</v>
      </c>
      <c r="E28" s="5" t="s">
        <v>96</v>
      </c>
      <c r="F28" s="6" t="s">
        <v>20</v>
      </c>
      <c r="G28" s="6" t="s">
        <v>21</v>
      </c>
      <c r="H28" s="6">
        <v>2</v>
      </c>
      <c r="I28" s="7"/>
      <c r="J28" s="7"/>
      <c r="K28" s="7"/>
      <c r="L28" s="7"/>
      <c r="M28" s="7"/>
    </row>
    <row r="29" spans="1:13" ht="30" customHeight="1" x14ac:dyDescent="0.3">
      <c r="A29" s="3" t="s">
        <v>15</v>
      </c>
      <c r="B29" s="4" t="s">
        <v>93</v>
      </c>
      <c r="C29" s="4" t="s">
        <v>97</v>
      </c>
      <c r="D29" s="5" t="s">
        <v>98</v>
      </c>
      <c r="E29" s="5" t="s">
        <v>99</v>
      </c>
      <c r="F29" s="6" t="s">
        <v>20</v>
      </c>
      <c r="G29" s="6" t="s">
        <v>21</v>
      </c>
      <c r="H29" s="6">
        <v>2</v>
      </c>
      <c r="I29" s="7"/>
      <c r="J29" s="7"/>
      <c r="K29" s="7"/>
      <c r="L29" s="7"/>
      <c r="M29" s="7"/>
    </row>
    <row r="30" spans="1:13" ht="30" customHeight="1" x14ac:dyDescent="0.3">
      <c r="A30" s="3" t="s">
        <v>15</v>
      </c>
      <c r="B30" s="4" t="s">
        <v>93</v>
      </c>
      <c r="C30" s="4" t="s">
        <v>100</v>
      </c>
      <c r="D30" s="5" t="s">
        <v>101</v>
      </c>
      <c r="E30" s="5" t="s">
        <v>102</v>
      </c>
      <c r="F30" s="6" t="s">
        <v>20</v>
      </c>
      <c r="G30" s="6" t="s">
        <v>21</v>
      </c>
      <c r="H30" s="6">
        <v>2</v>
      </c>
      <c r="I30" s="7"/>
      <c r="J30" s="7"/>
      <c r="K30" s="7"/>
      <c r="L30" s="7"/>
      <c r="M30" s="7"/>
    </row>
    <row r="31" spans="1:13" ht="30" customHeight="1" x14ac:dyDescent="0.3">
      <c r="A31" s="8" t="s">
        <v>103</v>
      </c>
      <c r="B31" s="9" t="s">
        <v>104</v>
      </c>
      <c r="C31" s="9" t="s">
        <v>105</v>
      </c>
      <c r="D31" s="10" t="s">
        <v>106</v>
      </c>
      <c r="E31" s="10" t="s">
        <v>99</v>
      </c>
      <c r="F31" s="11" t="s">
        <v>20</v>
      </c>
      <c r="G31" s="11" t="s">
        <v>21</v>
      </c>
      <c r="H31" s="11">
        <v>2</v>
      </c>
      <c r="I31" s="7"/>
      <c r="J31" s="7"/>
      <c r="K31" s="7"/>
      <c r="L31" s="7"/>
      <c r="M31" s="7"/>
    </row>
    <row r="32" spans="1:13" ht="30" customHeight="1" x14ac:dyDescent="0.3">
      <c r="A32" s="12" t="s">
        <v>107</v>
      </c>
      <c r="B32" s="13" t="s">
        <v>108</v>
      </c>
      <c r="C32" s="13" t="s">
        <v>109</v>
      </c>
      <c r="D32" s="14" t="s">
        <v>110</v>
      </c>
      <c r="E32" s="14" t="s">
        <v>111</v>
      </c>
      <c r="F32" s="15" t="s">
        <v>112</v>
      </c>
      <c r="G32" s="15" t="s">
        <v>21</v>
      </c>
      <c r="H32" s="15">
        <v>1</v>
      </c>
      <c r="I32" s="7"/>
      <c r="J32" s="7"/>
      <c r="K32" s="7"/>
      <c r="L32" s="7"/>
      <c r="M32" s="7"/>
    </row>
    <row r="33" spans="1:13" ht="30" customHeight="1" x14ac:dyDescent="0.3">
      <c r="A33" s="12" t="s">
        <v>107</v>
      </c>
      <c r="B33" s="13" t="s">
        <v>108</v>
      </c>
      <c r="C33" s="13" t="s">
        <v>113</v>
      </c>
      <c r="D33" s="14" t="s">
        <v>114</v>
      </c>
      <c r="E33" s="14" t="s">
        <v>111</v>
      </c>
      <c r="F33" s="15" t="s">
        <v>112</v>
      </c>
      <c r="G33" s="15" t="s">
        <v>21</v>
      </c>
      <c r="H33" s="15">
        <v>2</v>
      </c>
      <c r="I33" s="7"/>
      <c r="J33" s="7"/>
      <c r="K33" s="7"/>
      <c r="L33" s="7"/>
      <c r="M33" s="7"/>
    </row>
    <row r="34" spans="1:13" ht="30" customHeight="1" x14ac:dyDescent="0.3">
      <c r="A34" s="12" t="s">
        <v>107</v>
      </c>
      <c r="B34" s="13" t="s">
        <v>108</v>
      </c>
      <c r="C34" s="13" t="s">
        <v>115</v>
      </c>
      <c r="D34" s="14" t="s">
        <v>116</v>
      </c>
      <c r="E34" s="14" t="s">
        <v>111</v>
      </c>
      <c r="F34" s="15" t="s">
        <v>112</v>
      </c>
      <c r="G34" s="15" t="s">
        <v>21</v>
      </c>
      <c r="H34" s="15">
        <v>1</v>
      </c>
      <c r="I34" s="7"/>
      <c r="J34" s="7"/>
      <c r="K34" s="7"/>
      <c r="L34" s="7"/>
      <c r="M34" s="7"/>
    </row>
    <row r="35" spans="1:13" ht="30" customHeight="1" x14ac:dyDescent="0.3">
      <c r="A35" s="12" t="s">
        <v>107</v>
      </c>
      <c r="B35" s="13" t="s">
        <v>108</v>
      </c>
      <c r="C35" s="13" t="s">
        <v>117</v>
      </c>
      <c r="D35" s="14" t="s">
        <v>118</v>
      </c>
      <c r="E35" s="14" t="s">
        <v>111</v>
      </c>
      <c r="F35" s="15" t="s">
        <v>112</v>
      </c>
      <c r="G35" s="15" t="s">
        <v>21</v>
      </c>
      <c r="H35" s="15">
        <v>2</v>
      </c>
      <c r="I35" s="7"/>
      <c r="J35" s="7"/>
      <c r="K35" s="7"/>
      <c r="L35" s="7"/>
      <c r="M35" s="7"/>
    </row>
    <row r="36" spans="1:13" ht="30" customHeight="1" x14ac:dyDescent="0.3">
      <c r="A36" s="12" t="s">
        <v>107</v>
      </c>
      <c r="B36" s="13" t="s">
        <v>108</v>
      </c>
      <c r="C36" s="13" t="s">
        <v>119</v>
      </c>
      <c r="D36" s="14" t="s">
        <v>120</v>
      </c>
      <c r="E36" s="14" t="s">
        <v>111</v>
      </c>
      <c r="F36" s="15" t="s">
        <v>112</v>
      </c>
      <c r="G36" s="15" t="s">
        <v>21</v>
      </c>
      <c r="H36" s="15">
        <v>1</v>
      </c>
      <c r="I36" s="7"/>
      <c r="J36" s="7"/>
      <c r="K36" s="7"/>
      <c r="L36" s="7"/>
      <c r="M36" s="7"/>
    </row>
    <row r="37" spans="1:13" ht="30" customHeight="1" x14ac:dyDescent="0.3">
      <c r="A37" s="12" t="s">
        <v>107</v>
      </c>
      <c r="B37" s="13" t="s">
        <v>121</v>
      </c>
      <c r="C37" s="13" t="s">
        <v>122</v>
      </c>
      <c r="D37" s="14" t="s">
        <v>123</v>
      </c>
      <c r="E37" s="14" t="s">
        <v>124</v>
      </c>
      <c r="F37" s="15" t="s">
        <v>112</v>
      </c>
      <c r="G37" s="15" t="s">
        <v>21</v>
      </c>
      <c r="H37" s="15">
        <v>3</v>
      </c>
      <c r="I37" s="7"/>
      <c r="J37" s="7"/>
      <c r="K37" s="7"/>
      <c r="L37" s="7"/>
      <c r="M37" s="7"/>
    </row>
    <row r="38" spans="1:13" ht="30" customHeight="1" x14ac:dyDescent="0.3">
      <c r="A38" s="12" t="s">
        <v>107</v>
      </c>
      <c r="B38" s="13" t="s">
        <v>125</v>
      </c>
      <c r="C38" s="13" t="s">
        <v>126</v>
      </c>
      <c r="D38" s="14" t="s">
        <v>127</v>
      </c>
      <c r="E38" s="14" t="s">
        <v>111</v>
      </c>
      <c r="F38" s="15" t="s">
        <v>112</v>
      </c>
      <c r="G38" s="15" t="s">
        <v>21</v>
      </c>
      <c r="H38" s="15">
        <v>2</v>
      </c>
      <c r="I38" s="7"/>
      <c r="J38" s="7"/>
      <c r="K38" s="7"/>
      <c r="L38" s="7"/>
      <c r="M38" s="7"/>
    </row>
    <row r="39" spans="1:13" ht="30" customHeight="1" x14ac:dyDescent="0.3">
      <c r="A39" s="12" t="s">
        <v>107</v>
      </c>
      <c r="B39" s="13" t="s">
        <v>128</v>
      </c>
      <c r="C39" s="13" t="s">
        <v>129</v>
      </c>
      <c r="D39" s="14" t="s">
        <v>130</v>
      </c>
      <c r="E39" s="14" t="s">
        <v>131</v>
      </c>
      <c r="F39" s="15" t="s">
        <v>112</v>
      </c>
      <c r="G39" s="15" t="s">
        <v>21</v>
      </c>
      <c r="H39" s="15">
        <v>2</v>
      </c>
      <c r="I39" s="7"/>
      <c r="J39" s="7"/>
      <c r="K39" s="7"/>
      <c r="L39" s="7"/>
      <c r="M39" s="7"/>
    </row>
    <row r="40" spans="1:13" ht="30" customHeight="1" x14ac:dyDescent="0.3">
      <c r="A40" s="16" t="s">
        <v>132</v>
      </c>
      <c r="B40" s="17" t="s">
        <v>133</v>
      </c>
      <c r="C40" s="17" t="s">
        <v>134</v>
      </c>
      <c r="D40" s="18" t="s">
        <v>135</v>
      </c>
      <c r="E40" s="18" t="s">
        <v>45</v>
      </c>
      <c r="F40" s="19" t="s">
        <v>20</v>
      </c>
      <c r="G40" s="19" t="s">
        <v>136</v>
      </c>
      <c r="H40" s="19">
        <v>1</v>
      </c>
      <c r="I40" s="7"/>
      <c r="J40" s="7"/>
      <c r="K40" s="7"/>
      <c r="L40" s="7"/>
      <c r="M40" s="7"/>
    </row>
    <row r="41" spans="1:13" ht="30" customHeight="1" x14ac:dyDescent="0.3">
      <c r="A41" s="16" t="s">
        <v>132</v>
      </c>
      <c r="B41" s="17" t="s">
        <v>133</v>
      </c>
      <c r="C41" s="17" t="s">
        <v>137</v>
      </c>
      <c r="D41" s="18" t="s">
        <v>138</v>
      </c>
      <c r="E41" s="18" t="s">
        <v>139</v>
      </c>
      <c r="F41" s="19" t="s">
        <v>20</v>
      </c>
      <c r="G41" s="19" t="s">
        <v>136</v>
      </c>
      <c r="H41" s="19">
        <v>2</v>
      </c>
      <c r="I41" s="7"/>
      <c r="J41" s="7"/>
      <c r="K41" s="7"/>
      <c r="L41" s="7"/>
      <c r="M41" s="7"/>
    </row>
    <row r="42" spans="1:13" ht="30" customHeight="1" x14ac:dyDescent="0.3">
      <c r="A42" s="16" t="s">
        <v>132</v>
      </c>
      <c r="B42" s="17" t="s">
        <v>140</v>
      </c>
      <c r="C42" s="17" t="s">
        <v>141</v>
      </c>
      <c r="D42" s="18" t="s">
        <v>142</v>
      </c>
      <c r="E42" s="18" t="s">
        <v>143</v>
      </c>
      <c r="F42" s="19" t="s">
        <v>20</v>
      </c>
      <c r="G42" s="19" t="s">
        <v>136</v>
      </c>
      <c r="H42" s="19">
        <v>3</v>
      </c>
      <c r="I42" s="7"/>
      <c r="J42" s="7"/>
      <c r="K42" s="7"/>
      <c r="L42" s="7"/>
      <c r="M42" s="7"/>
    </row>
    <row r="43" spans="1:13" ht="30" customHeight="1" x14ac:dyDescent="0.3">
      <c r="A43" s="16" t="s">
        <v>132</v>
      </c>
      <c r="B43" s="17" t="s">
        <v>140</v>
      </c>
      <c r="C43" s="17" t="s">
        <v>144</v>
      </c>
      <c r="D43" s="18" t="s">
        <v>145</v>
      </c>
      <c r="E43" s="18" t="s">
        <v>143</v>
      </c>
      <c r="F43" s="19" t="s">
        <v>20</v>
      </c>
      <c r="G43" s="19" t="s">
        <v>136</v>
      </c>
      <c r="H43" s="19">
        <v>3</v>
      </c>
      <c r="I43" s="7"/>
      <c r="J43" s="7"/>
      <c r="K43" s="7"/>
      <c r="L43" s="7"/>
      <c r="M43" s="7"/>
    </row>
    <row r="44" spans="1:13" ht="30" customHeight="1" x14ac:dyDescent="0.3">
      <c r="A44" s="16" t="s">
        <v>132</v>
      </c>
      <c r="B44" s="17" t="s">
        <v>140</v>
      </c>
      <c r="C44" s="17" t="s">
        <v>146</v>
      </c>
      <c r="D44" s="18" t="s">
        <v>147</v>
      </c>
      <c r="E44" s="18" t="s">
        <v>148</v>
      </c>
      <c r="F44" s="19" t="s">
        <v>20</v>
      </c>
      <c r="G44" s="19" t="s">
        <v>136</v>
      </c>
      <c r="H44" s="19">
        <v>3</v>
      </c>
      <c r="I44" s="7"/>
      <c r="J44" s="7"/>
      <c r="K44" s="7"/>
      <c r="L44" s="7"/>
      <c r="M44" s="7"/>
    </row>
    <row r="45" spans="1:13" ht="30" customHeight="1" x14ac:dyDescent="0.3">
      <c r="A45" s="16" t="s">
        <v>132</v>
      </c>
      <c r="B45" s="17" t="s">
        <v>149</v>
      </c>
      <c r="C45" s="17" t="s">
        <v>150</v>
      </c>
      <c r="D45" s="18" t="s">
        <v>151</v>
      </c>
      <c r="E45" s="18" t="s">
        <v>152</v>
      </c>
      <c r="F45" s="19" t="s">
        <v>20</v>
      </c>
      <c r="G45" s="19" t="s">
        <v>136</v>
      </c>
      <c r="H45" s="19">
        <v>3</v>
      </c>
      <c r="I45" s="7"/>
      <c r="J45" s="7"/>
      <c r="K45" s="7"/>
      <c r="L45" s="7"/>
      <c r="M45" s="7"/>
    </row>
    <row r="46" spans="1:13" ht="30" customHeight="1" x14ac:dyDescent="0.3">
      <c r="A46" s="16" t="s">
        <v>132</v>
      </c>
      <c r="B46" s="17" t="s">
        <v>149</v>
      </c>
      <c r="C46" s="17" t="s">
        <v>153</v>
      </c>
      <c r="D46" s="18" t="s">
        <v>154</v>
      </c>
      <c r="E46" s="18" t="s">
        <v>155</v>
      </c>
      <c r="F46" s="19" t="s">
        <v>112</v>
      </c>
      <c r="G46" s="19" t="s">
        <v>136</v>
      </c>
      <c r="H46" s="19">
        <v>3</v>
      </c>
      <c r="I46" s="7"/>
      <c r="J46" s="7"/>
      <c r="K46" s="7"/>
      <c r="L46" s="7"/>
      <c r="M46" s="7"/>
    </row>
    <row r="47" spans="1:13" ht="30" customHeight="1" x14ac:dyDescent="0.3">
      <c r="A47" s="16" t="s">
        <v>132</v>
      </c>
      <c r="B47" s="17" t="s">
        <v>156</v>
      </c>
      <c r="C47" s="17" t="s">
        <v>157</v>
      </c>
      <c r="D47" s="18" t="s">
        <v>158</v>
      </c>
      <c r="E47" s="18" t="s">
        <v>159</v>
      </c>
      <c r="F47" s="19" t="s">
        <v>20</v>
      </c>
      <c r="G47" s="19" t="s">
        <v>136</v>
      </c>
      <c r="H47" s="19">
        <v>3</v>
      </c>
      <c r="I47" s="7"/>
      <c r="J47" s="7"/>
      <c r="K47" s="7"/>
      <c r="L47" s="7"/>
      <c r="M47" s="7"/>
    </row>
    <row r="48" spans="1:13" ht="30" customHeight="1" x14ac:dyDescent="0.3">
      <c r="A48" s="16" t="s">
        <v>132</v>
      </c>
      <c r="B48" s="17" t="s">
        <v>156</v>
      </c>
      <c r="C48" s="17" t="s">
        <v>160</v>
      </c>
      <c r="D48" s="18" t="s">
        <v>161</v>
      </c>
      <c r="E48" s="18" t="s">
        <v>162</v>
      </c>
      <c r="F48" s="19" t="s">
        <v>20</v>
      </c>
      <c r="G48" s="19" t="s">
        <v>136</v>
      </c>
      <c r="H48" s="19">
        <v>3</v>
      </c>
      <c r="I48" s="7"/>
      <c r="J48" s="7"/>
      <c r="K48" s="7"/>
      <c r="L48" s="7"/>
      <c r="M48" s="7"/>
    </row>
    <row r="49" spans="1:13" ht="30" customHeight="1" x14ac:dyDescent="0.3">
      <c r="A49" s="16" t="s">
        <v>132</v>
      </c>
      <c r="B49" s="17" t="s">
        <v>156</v>
      </c>
      <c r="C49" s="17" t="s">
        <v>163</v>
      </c>
      <c r="D49" s="18" t="s">
        <v>164</v>
      </c>
      <c r="E49" s="18" t="s">
        <v>165</v>
      </c>
      <c r="F49" s="19" t="s">
        <v>112</v>
      </c>
      <c r="G49" s="19" t="s">
        <v>136</v>
      </c>
      <c r="H49" s="19">
        <v>2</v>
      </c>
      <c r="I49" s="7"/>
      <c r="J49" s="7"/>
      <c r="K49" s="7"/>
      <c r="L49" s="7"/>
      <c r="M49" s="7"/>
    </row>
    <row r="50" spans="1:13" ht="30" customHeight="1" x14ac:dyDescent="0.3">
      <c r="A50" s="16" t="s">
        <v>132</v>
      </c>
      <c r="B50" s="17" t="s">
        <v>166</v>
      </c>
      <c r="C50" s="17" t="s">
        <v>167</v>
      </c>
      <c r="D50" s="18" t="s">
        <v>168</v>
      </c>
      <c r="E50" s="18" t="s">
        <v>75</v>
      </c>
      <c r="F50" s="19" t="s">
        <v>112</v>
      </c>
      <c r="G50" s="19" t="s">
        <v>136</v>
      </c>
      <c r="H50" s="19">
        <v>3</v>
      </c>
      <c r="I50" s="7"/>
      <c r="J50" s="7"/>
      <c r="K50" s="7"/>
      <c r="L50" s="7"/>
      <c r="M50" s="7"/>
    </row>
    <row r="51" spans="1:13" ht="30" customHeight="1" x14ac:dyDescent="0.3">
      <c r="A51" s="16" t="s">
        <v>132</v>
      </c>
      <c r="B51" s="17" t="s">
        <v>166</v>
      </c>
      <c r="C51" s="17" t="s">
        <v>169</v>
      </c>
      <c r="D51" s="18" t="s">
        <v>170</v>
      </c>
      <c r="E51" s="18" t="s">
        <v>171</v>
      </c>
      <c r="F51" s="19" t="s">
        <v>172</v>
      </c>
      <c r="G51" s="19" t="s">
        <v>136</v>
      </c>
      <c r="H51" s="19">
        <v>2</v>
      </c>
      <c r="I51" s="7"/>
      <c r="J51" s="7"/>
      <c r="K51" s="7"/>
      <c r="L51" s="7"/>
      <c r="M51" s="7"/>
    </row>
    <row r="52" spans="1:13" ht="30" customHeight="1" x14ac:dyDescent="0.3">
      <c r="A52" s="16" t="s">
        <v>132</v>
      </c>
      <c r="B52" s="17" t="s">
        <v>166</v>
      </c>
      <c r="C52" s="17" t="s">
        <v>173</v>
      </c>
      <c r="D52" s="18" t="s">
        <v>174</v>
      </c>
      <c r="E52" s="18" t="s">
        <v>175</v>
      </c>
      <c r="F52" s="19" t="s">
        <v>172</v>
      </c>
      <c r="G52" s="19" t="s">
        <v>136</v>
      </c>
      <c r="H52" s="19">
        <v>3</v>
      </c>
      <c r="I52" s="7"/>
      <c r="J52" s="7"/>
      <c r="K52" s="7"/>
      <c r="L52" s="7"/>
      <c r="M52" s="7"/>
    </row>
    <row r="53" spans="1:13" ht="30" customHeight="1" x14ac:dyDescent="0.3">
      <c r="A53" s="16" t="s">
        <v>132</v>
      </c>
      <c r="B53" s="17" t="s">
        <v>166</v>
      </c>
      <c r="C53" s="17" t="s">
        <v>176</v>
      </c>
      <c r="D53" s="18" t="s">
        <v>177</v>
      </c>
      <c r="E53" s="18" t="s">
        <v>178</v>
      </c>
      <c r="F53" s="19" t="s">
        <v>20</v>
      </c>
      <c r="G53" s="19" t="s">
        <v>136</v>
      </c>
      <c r="H53" s="19">
        <v>2</v>
      </c>
      <c r="I53" s="7"/>
      <c r="J53" s="7"/>
      <c r="K53" s="7"/>
      <c r="L53" s="7"/>
      <c r="M53" s="7"/>
    </row>
    <row r="54" spans="1:13" ht="30" customHeight="1" x14ac:dyDescent="0.3">
      <c r="A54" s="20" t="s">
        <v>179</v>
      </c>
      <c r="B54" s="21" t="s">
        <v>180</v>
      </c>
      <c r="C54" s="21" t="s">
        <v>181</v>
      </c>
      <c r="D54" s="22" t="s">
        <v>182</v>
      </c>
      <c r="E54" s="22" t="s">
        <v>183</v>
      </c>
      <c r="F54" s="23" t="s">
        <v>20</v>
      </c>
      <c r="G54" s="23" t="s">
        <v>21</v>
      </c>
      <c r="H54" s="23">
        <v>1</v>
      </c>
      <c r="I54" s="7"/>
      <c r="J54" s="7"/>
      <c r="K54" s="7"/>
      <c r="L54" s="7"/>
      <c r="M54" s="7"/>
    </row>
    <row r="55" spans="1:13" ht="30" customHeight="1" x14ac:dyDescent="0.3">
      <c r="A55" s="20" t="s">
        <v>179</v>
      </c>
      <c r="B55" s="21" t="s">
        <v>180</v>
      </c>
      <c r="C55" s="21" t="s">
        <v>184</v>
      </c>
      <c r="D55" s="22" t="s">
        <v>185</v>
      </c>
      <c r="E55" s="22" t="s">
        <v>183</v>
      </c>
      <c r="F55" s="23" t="s">
        <v>20</v>
      </c>
      <c r="G55" s="23" t="s">
        <v>21</v>
      </c>
      <c r="H55" s="23">
        <v>2</v>
      </c>
      <c r="I55" s="7"/>
      <c r="J55" s="7"/>
      <c r="K55" s="7"/>
      <c r="L55" s="7"/>
      <c r="M55" s="7"/>
    </row>
    <row r="56" spans="1:13" ht="30" customHeight="1" x14ac:dyDescent="0.3">
      <c r="A56" s="20" t="s">
        <v>179</v>
      </c>
      <c r="B56" s="21" t="s">
        <v>180</v>
      </c>
      <c r="C56" s="21" t="s">
        <v>186</v>
      </c>
      <c r="D56" s="22" t="s">
        <v>187</v>
      </c>
      <c r="E56" s="22" t="s">
        <v>188</v>
      </c>
      <c r="F56" s="23" t="s">
        <v>20</v>
      </c>
      <c r="G56" s="23" t="s">
        <v>21</v>
      </c>
      <c r="H56" s="23">
        <v>3</v>
      </c>
      <c r="I56" s="7"/>
      <c r="J56" s="7"/>
      <c r="K56" s="7"/>
      <c r="L56" s="7"/>
      <c r="M56" s="7"/>
    </row>
    <row r="57" spans="1:13" ht="30" customHeight="1" x14ac:dyDescent="0.3">
      <c r="A57" s="20" t="s">
        <v>179</v>
      </c>
      <c r="B57" s="21" t="s">
        <v>180</v>
      </c>
      <c r="C57" s="21" t="s">
        <v>189</v>
      </c>
      <c r="D57" s="22" t="s">
        <v>190</v>
      </c>
      <c r="E57" s="22" t="s">
        <v>183</v>
      </c>
      <c r="F57" s="23" t="s">
        <v>20</v>
      </c>
      <c r="G57" s="23" t="s">
        <v>21</v>
      </c>
      <c r="H57" s="23">
        <v>1</v>
      </c>
      <c r="I57" s="7"/>
      <c r="J57" s="7"/>
      <c r="K57" s="7"/>
      <c r="L57" s="7"/>
      <c r="M57" s="7"/>
    </row>
    <row r="58" spans="1:13" ht="30" customHeight="1" x14ac:dyDescent="0.3">
      <c r="A58" s="20" t="s">
        <v>179</v>
      </c>
      <c r="B58" s="21" t="s">
        <v>180</v>
      </c>
      <c r="C58" s="21" t="s">
        <v>191</v>
      </c>
      <c r="D58" s="22" t="s">
        <v>192</v>
      </c>
      <c r="E58" s="22" t="s">
        <v>183</v>
      </c>
      <c r="F58" s="23" t="s">
        <v>20</v>
      </c>
      <c r="G58" s="23" t="s">
        <v>21</v>
      </c>
      <c r="H58" s="23">
        <v>2</v>
      </c>
      <c r="I58" s="7"/>
      <c r="J58" s="7"/>
      <c r="K58" s="7"/>
      <c r="L58" s="7"/>
      <c r="M58" s="7"/>
    </row>
    <row r="59" spans="1:13" ht="30" customHeight="1" x14ac:dyDescent="0.3">
      <c r="A59" s="20" t="s">
        <v>179</v>
      </c>
      <c r="B59" s="21" t="s">
        <v>180</v>
      </c>
      <c r="C59" s="21" t="s">
        <v>193</v>
      </c>
      <c r="D59" s="22" t="s">
        <v>194</v>
      </c>
      <c r="E59" s="22" t="s">
        <v>195</v>
      </c>
      <c r="F59" s="23" t="s">
        <v>20</v>
      </c>
      <c r="G59" s="23" t="s">
        <v>21</v>
      </c>
      <c r="H59" s="23">
        <v>1</v>
      </c>
      <c r="I59" s="7"/>
      <c r="J59" s="7"/>
      <c r="K59" s="7"/>
      <c r="L59" s="7"/>
      <c r="M59" s="7"/>
    </row>
    <row r="60" spans="1:13" ht="30" customHeight="1" x14ac:dyDescent="0.3">
      <c r="A60" s="20" t="s">
        <v>179</v>
      </c>
      <c r="B60" s="21" t="s">
        <v>180</v>
      </c>
      <c r="C60" s="21" t="s">
        <v>196</v>
      </c>
      <c r="D60" s="22" t="s">
        <v>197</v>
      </c>
      <c r="E60" s="22" t="s">
        <v>198</v>
      </c>
      <c r="F60" s="23" t="s">
        <v>20</v>
      </c>
      <c r="G60" s="23" t="s">
        <v>21</v>
      </c>
      <c r="H60" s="23">
        <v>1</v>
      </c>
      <c r="I60" s="7"/>
      <c r="J60" s="7"/>
      <c r="K60" s="7"/>
      <c r="L60" s="7"/>
      <c r="M60" s="7"/>
    </row>
    <row r="61" spans="1:13" ht="30" customHeight="1" x14ac:dyDescent="0.3">
      <c r="A61" s="20" t="s">
        <v>179</v>
      </c>
      <c r="B61" s="21" t="s">
        <v>199</v>
      </c>
      <c r="C61" s="21" t="s">
        <v>200</v>
      </c>
      <c r="D61" s="22" t="s">
        <v>201</v>
      </c>
      <c r="E61" s="22" t="s">
        <v>202</v>
      </c>
      <c r="F61" s="23" t="s">
        <v>112</v>
      </c>
      <c r="G61" s="23" t="s">
        <v>203</v>
      </c>
      <c r="H61" s="23">
        <v>3</v>
      </c>
      <c r="I61" s="7"/>
      <c r="J61" s="7"/>
      <c r="K61" s="7"/>
      <c r="L61" s="7"/>
      <c r="M61" s="7"/>
    </row>
    <row r="62" spans="1:13" ht="30" customHeight="1" x14ac:dyDescent="0.3">
      <c r="A62" s="8" t="s">
        <v>204</v>
      </c>
      <c r="B62" s="9" t="s">
        <v>205</v>
      </c>
      <c r="C62" s="9" t="s">
        <v>206</v>
      </c>
      <c r="D62" s="10" t="s">
        <v>207</v>
      </c>
      <c r="E62" s="10" t="s">
        <v>208</v>
      </c>
      <c r="F62" s="11" t="s">
        <v>20</v>
      </c>
      <c r="G62" s="11" t="s">
        <v>209</v>
      </c>
      <c r="H62" s="11">
        <v>1</v>
      </c>
      <c r="I62" s="7"/>
      <c r="J62" s="7"/>
      <c r="K62" s="7"/>
      <c r="L62" s="7"/>
      <c r="M62" s="7"/>
    </row>
    <row r="63" spans="1:13" ht="30" customHeight="1" x14ac:dyDescent="0.3">
      <c r="A63" s="8" t="s">
        <v>204</v>
      </c>
      <c r="B63" s="9" t="s">
        <v>205</v>
      </c>
      <c r="C63" s="9" t="s">
        <v>210</v>
      </c>
      <c r="D63" s="10" t="s">
        <v>211</v>
      </c>
      <c r="E63" s="10" t="s">
        <v>212</v>
      </c>
      <c r="F63" s="11" t="s">
        <v>20</v>
      </c>
      <c r="G63" s="11" t="s">
        <v>209</v>
      </c>
      <c r="H63" s="11">
        <v>2</v>
      </c>
      <c r="I63" s="7"/>
      <c r="J63" s="7"/>
      <c r="K63" s="7"/>
      <c r="L63" s="7"/>
      <c r="M63" s="7"/>
    </row>
    <row r="64" spans="1:13" ht="30" customHeight="1" x14ac:dyDescent="0.3">
      <c r="A64" s="8" t="s">
        <v>204</v>
      </c>
      <c r="B64" s="9" t="s">
        <v>205</v>
      </c>
      <c r="C64" s="9" t="s">
        <v>213</v>
      </c>
      <c r="D64" s="10" t="s">
        <v>214</v>
      </c>
      <c r="E64" s="10" t="s">
        <v>215</v>
      </c>
      <c r="F64" s="11" t="s">
        <v>172</v>
      </c>
      <c r="G64" s="11" t="s">
        <v>209</v>
      </c>
      <c r="H64" s="11">
        <v>1</v>
      </c>
      <c r="I64" s="7"/>
      <c r="J64" s="7"/>
      <c r="K64" s="7"/>
      <c r="L64" s="7"/>
      <c r="M64" s="7"/>
    </row>
  </sheetData>
  <autoFilter ref="A3:M64" xr:uid="{2AA20D48-DA50-4DFB-80BC-F6DFFD020319}"/>
  <mergeCells count="2">
    <mergeCell ref="A1:M1"/>
    <mergeCell ref="A2:M2"/>
  </mergeCells>
  <dataValidations count="3">
    <dataValidation type="list" allowBlank="1" showInputMessage="1" sqref="L4:L64" xr:uid="{BBA74D94-811A-4438-A983-249FF38678EC}">
      <mc:AlternateContent xmlns:x12ac="http://schemas.microsoft.com/office/spreadsheetml/2011/1/ac" xmlns:mc="http://schemas.openxmlformats.org/markup-compatibility/2006">
        <mc:Choice Requires="x12ac">
          <x12ac:list>"Gratuit,Payant"</x12ac:list>
        </mc:Choice>
        <mc:Fallback>
          <formula1>"Gratuit,Payant"</formula1>
        </mc:Fallback>
      </mc:AlternateContent>
    </dataValidation>
    <dataValidation type="list" allowBlank="1" showInputMessage="1" sqref="J4:J64" xr:uid="{38BB16CF-BABD-4D03-830E-A325B223CA4B}">
      <mc:AlternateContent xmlns:x12ac="http://schemas.microsoft.com/office/spreadsheetml/2011/1/ac" xmlns:mc="http://schemas.openxmlformats.org/markup-compatibility/2006">
        <mc:Choice Requires="x12ac">
          <x12ac:list>"SENTINELLE,BOUSSOLE,QUOTIDIEN,EMAIL,Supprimé"</x12ac:list>
        </mc:Choice>
        <mc:Fallback>
          <formula1>"SENTINELLE,BOUSSOLE,QUOTIDIEN,EMAIL,Supprimé"</formula1>
        </mc:Fallback>
      </mc:AlternateContent>
    </dataValidation>
    <dataValidation type="list" allowBlank="1" showInputMessage="1" sqref="I4:I64" xr:uid="{3547FF69-42C2-4CDF-A650-492446D3CE02}">
      <mc:AlternateContent xmlns:x12ac="http://schemas.microsoft.com/office/spreadsheetml/2011/1/ac" xmlns:mc="http://schemas.openxmlformats.org/markup-compatibility/2006">
        <mc:Choice Requires="x12ac">
          <x12ac:list>"Garder,Supprimer,Fusionner,Déplacer"</x12ac:list>
        </mc:Choice>
        <mc:Fallback>
          <formula1>"Garder,Supprimer,Fusionner,Déplacer"</formula1>
        </mc:Fallback>
      </mc:AlternateContent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9C6A-C07A-4454-81BD-3FBD16E050B5}">
  <dimension ref="A1:E45"/>
  <sheetViews>
    <sheetView workbookViewId="0"/>
  </sheetViews>
  <sheetFormatPr baseColWidth="10" defaultRowHeight="14.4" x14ac:dyDescent="0.3"/>
  <cols>
    <col min="1" max="1" width="34.77734375" customWidth="1"/>
    <col min="2" max="2" width="14.77734375" customWidth="1"/>
    <col min="3" max="3" width="16.77734375" customWidth="1"/>
    <col min="4" max="4" width="14.77734375" customWidth="1"/>
    <col min="5" max="5" width="48.77734375" customWidth="1"/>
  </cols>
  <sheetData>
    <row r="1" spans="1:5" ht="16.8" x14ac:dyDescent="0.3">
      <c r="A1" s="37" t="s">
        <v>216</v>
      </c>
      <c r="B1" s="37"/>
      <c r="C1" s="37"/>
      <c r="D1" s="37"/>
      <c r="E1" s="37"/>
    </row>
    <row r="2" spans="1:5" x14ac:dyDescent="0.3">
      <c r="A2" s="24"/>
      <c r="B2" s="24"/>
      <c r="C2" s="24"/>
      <c r="D2" s="24"/>
      <c r="E2" s="24"/>
    </row>
    <row r="3" spans="1:5" x14ac:dyDescent="0.3">
      <c r="A3" s="25" t="s">
        <v>217</v>
      </c>
      <c r="B3" s="24"/>
      <c r="C3" s="24"/>
      <c r="D3" s="24"/>
      <c r="E3" s="24"/>
    </row>
    <row r="4" spans="1:5" x14ac:dyDescent="0.3">
      <c r="A4" s="26" t="s">
        <v>2</v>
      </c>
      <c r="B4" s="26" t="s">
        <v>218</v>
      </c>
      <c r="C4" s="26" t="s">
        <v>219</v>
      </c>
      <c r="D4" s="26" t="s">
        <v>220</v>
      </c>
      <c r="E4" s="24"/>
    </row>
    <row r="5" spans="1:5" x14ac:dyDescent="0.3">
      <c r="A5" s="27" t="s">
        <v>15</v>
      </c>
      <c r="B5" s="24">
        <f>COUNTIF(Organigramme!$A$4:$A$64,$A5)</f>
        <v>27</v>
      </c>
      <c r="C5" s="24">
        <f>COUNTIFS(Organigramme!$A$4:$A$64,$A5,Organigramme!$H$4:$H$64,3)</f>
        <v>6</v>
      </c>
      <c r="D5" s="28">
        <f t="shared" ref="D5:D10" si="0">IF($B$11=0,0,B5/$B$11)</f>
        <v>0.44262295081967212</v>
      </c>
      <c r="E5" s="24"/>
    </row>
    <row r="6" spans="1:5" x14ac:dyDescent="0.3">
      <c r="A6" s="27" t="s">
        <v>132</v>
      </c>
      <c r="B6" s="24">
        <f>COUNTIF(Organigramme!$A$4:$A$64,$A6)</f>
        <v>14</v>
      </c>
      <c r="C6" s="24">
        <f>COUNTIFS(Organigramme!$A$4:$A$64,$A6,Organigramme!$H$4:$H$64,3)</f>
        <v>9</v>
      </c>
      <c r="D6" s="28">
        <f t="shared" si="0"/>
        <v>0.22950819672131148</v>
      </c>
      <c r="E6" s="24"/>
    </row>
    <row r="7" spans="1:5" x14ac:dyDescent="0.3">
      <c r="A7" s="27" t="s">
        <v>179</v>
      </c>
      <c r="B7" s="24">
        <f>COUNTIF(Organigramme!$A$4:$A$64,$A7)</f>
        <v>8</v>
      </c>
      <c r="C7" s="24">
        <f>COUNTIFS(Organigramme!$A$4:$A$64,$A7,Organigramme!$H$4:$H$64,3)</f>
        <v>2</v>
      </c>
      <c r="D7" s="28">
        <f t="shared" si="0"/>
        <v>0.13114754098360656</v>
      </c>
      <c r="E7" s="24"/>
    </row>
    <row r="8" spans="1:5" x14ac:dyDescent="0.3">
      <c r="A8" s="27" t="s">
        <v>107</v>
      </c>
      <c r="B8" s="24">
        <f>COUNTIF(Organigramme!$A$4:$A$64,$A8)</f>
        <v>8</v>
      </c>
      <c r="C8" s="24">
        <f>COUNTIFS(Organigramme!$A$4:$A$64,$A8,Organigramme!$H$4:$H$64,3)</f>
        <v>1</v>
      </c>
      <c r="D8" s="28">
        <f t="shared" si="0"/>
        <v>0.13114754098360656</v>
      </c>
      <c r="E8" s="24"/>
    </row>
    <row r="9" spans="1:5" x14ac:dyDescent="0.3">
      <c r="A9" s="27" t="s">
        <v>103</v>
      </c>
      <c r="B9" s="24">
        <f>COUNTIF(Organigramme!$A$4:$A$64,$A9)</f>
        <v>1</v>
      </c>
      <c r="C9" s="24">
        <f>COUNTIFS(Organigramme!$A$4:$A$64,$A9,Organigramme!$H$4:$H$64,3)</f>
        <v>0</v>
      </c>
      <c r="D9" s="28">
        <f t="shared" si="0"/>
        <v>1.6393442622950821E-2</v>
      </c>
      <c r="E9" s="24"/>
    </row>
    <row r="10" spans="1:5" x14ac:dyDescent="0.3">
      <c r="A10" s="27" t="s">
        <v>204</v>
      </c>
      <c r="B10" s="24">
        <f>COUNTIF(Organigramme!$A$4:$A$64,$A10)</f>
        <v>3</v>
      </c>
      <c r="C10" s="24">
        <f>COUNTIFS(Organigramme!$A$4:$A$64,$A10,Organigramme!$H$4:$H$64,3)</f>
        <v>0</v>
      </c>
      <c r="D10" s="28">
        <f t="shared" si="0"/>
        <v>4.9180327868852458E-2</v>
      </c>
      <c r="E10" s="24"/>
    </row>
    <row r="11" spans="1:5" x14ac:dyDescent="0.3">
      <c r="A11" s="27" t="s">
        <v>221</v>
      </c>
      <c r="B11" s="27">
        <f>SUM(B5:B10)</f>
        <v>61</v>
      </c>
      <c r="C11" s="27">
        <f>SUM(C5:C10)</f>
        <v>18</v>
      </c>
      <c r="D11" s="24"/>
      <c r="E11" s="24"/>
    </row>
    <row r="12" spans="1:5" x14ac:dyDescent="0.3">
      <c r="A12" s="24"/>
      <c r="B12" s="24"/>
      <c r="C12" s="24"/>
      <c r="D12" s="24"/>
      <c r="E12" s="24"/>
    </row>
    <row r="13" spans="1:5" x14ac:dyDescent="0.3">
      <c r="A13" s="25" t="s">
        <v>222</v>
      </c>
      <c r="B13" s="24"/>
      <c r="C13" s="24"/>
      <c r="D13" s="24"/>
      <c r="E13" s="24"/>
    </row>
    <row r="14" spans="1:5" x14ac:dyDescent="0.3">
      <c r="A14" s="26" t="s">
        <v>223</v>
      </c>
      <c r="B14" s="26" t="s">
        <v>218</v>
      </c>
      <c r="C14" s="26" t="s">
        <v>219</v>
      </c>
      <c r="D14" s="24"/>
      <c r="E14" s="24"/>
    </row>
    <row r="15" spans="1:5" x14ac:dyDescent="0.3">
      <c r="A15" s="24" t="s">
        <v>21</v>
      </c>
      <c r="B15" s="24">
        <f>COUNTIF(Organigramme!$G$4:$G$64,$A15)</f>
        <v>43</v>
      </c>
      <c r="C15" s="24">
        <f>COUNTIFS(Organigramme!$G$4:$G$64,$A15,Organigramme!$H$4:$H$64,3)</f>
        <v>8</v>
      </c>
      <c r="D15" s="24"/>
      <c r="E15" s="24"/>
    </row>
    <row r="16" spans="1:5" x14ac:dyDescent="0.3">
      <c r="A16" s="24" t="s">
        <v>136</v>
      </c>
      <c r="B16" s="24">
        <f>COUNTIF(Organigramme!$G$4:$G$64,$A16)</f>
        <v>14</v>
      </c>
      <c r="C16" s="24">
        <f>COUNTIFS(Organigramme!$G$4:$G$64,$A16,Organigramme!$H$4:$H$64,3)</f>
        <v>9</v>
      </c>
      <c r="D16" s="24"/>
      <c r="E16" s="24"/>
    </row>
    <row r="17" spans="1:5" x14ac:dyDescent="0.3">
      <c r="A17" s="24" t="s">
        <v>209</v>
      </c>
      <c r="B17" s="24">
        <f>COUNTIF(Organigramme!$G$4:$G$64,$A17)</f>
        <v>3</v>
      </c>
      <c r="C17" s="24">
        <f>COUNTIFS(Organigramme!$G$4:$G$64,$A17,Organigramme!$H$4:$H$64,3)</f>
        <v>0</v>
      </c>
      <c r="D17" s="24"/>
      <c r="E17" s="24"/>
    </row>
    <row r="18" spans="1:5" x14ac:dyDescent="0.3">
      <c r="A18" s="24"/>
      <c r="B18" s="24"/>
      <c r="C18" s="24"/>
      <c r="D18" s="24"/>
      <c r="E18" s="24"/>
    </row>
    <row r="19" spans="1:5" x14ac:dyDescent="0.3">
      <c r="A19" s="24"/>
      <c r="B19" s="24"/>
      <c r="C19" s="24"/>
      <c r="D19" s="24"/>
      <c r="E19" s="24"/>
    </row>
    <row r="20" spans="1:5" x14ac:dyDescent="0.3">
      <c r="A20" s="25" t="s">
        <v>224</v>
      </c>
      <c r="B20" s="24"/>
      <c r="C20" s="24"/>
      <c r="D20" s="24"/>
      <c r="E20" s="24"/>
    </row>
    <row r="21" spans="1:5" x14ac:dyDescent="0.3">
      <c r="A21" s="26" t="s">
        <v>225</v>
      </c>
      <c r="B21" s="26" t="s">
        <v>218</v>
      </c>
      <c r="C21" s="24"/>
      <c r="D21" s="24"/>
      <c r="E21" s="24"/>
    </row>
    <row r="22" spans="1:5" x14ac:dyDescent="0.3">
      <c r="A22" s="24" t="s">
        <v>20</v>
      </c>
      <c r="B22" s="24">
        <f>COUNTIF(Organigramme!$F$4:$F$64,$A22)</f>
        <v>43</v>
      </c>
      <c r="C22" s="24"/>
      <c r="D22" s="24"/>
      <c r="E22" s="24"/>
    </row>
    <row r="23" spans="1:5" x14ac:dyDescent="0.3">
      <c r="A23" s="24" t="s">
        <v>112</v>
      </c>
      <c r="B23" s="24">
        <f>COUNTIF(Organigramme!$F$4:$F$64,$A23)</f>
        <v>12</v>
      </c>
      <c r="C23" s="24"/>
      <c r="D23" s="24"/>
      <c r="E23" s="24"/>
    </row>
    <row r="24" spans="1:5" x14ac:dyDescent="0.3">
      <c r="A24" s="24" t="s">
        <v>72</v>
      </c>
      <c r="B24" s="24">
        <f>COUNTIF(Organigramme!$F$4:$F$64,$A24)</f>
        <v>3</v>
      </c>
      <c r="C24" s="24"/>
      <c r="D24" s="24"/>
      <c r="E24" s="24"/>
    </row>
    <row r="25" spans="1:5" x14ac:dyDescent="0.3">
      <c r="A25" s="24" t="s">
        <v>172</v>
      </c>
      <c r="B25" s="24">
        <f>COUNTIF(Organigramme!$F$4:$F$64,$A25)</f>
        <v>3</v>
      </c>
      <c r="C25" s="24"/>
      <c r="D25" s="24"/>
      <c r="E25" s="24"/>
    </row>
    <row r="26" spans="1:5" x14ac:dyDescent="0.3">
      <c r="A26" s="24"/>
      <c r="B26" s="24"/>
      <c r="C26" s="24"/>
      <c r="D26" s="24"/>
      <c r="E26" s="24"/>
    </row>
    <row r="27" spans="1:5" x14ac:dyDescent="0.3">
      <c r="A27" s="24"/>
      <c r="B27" s="24"/>
      <c r="C27" s="24"/>
      <c r="D27" s="24"/>
      <c r="E27" s="24"/>
    </row>
    <row r="28" spans="1:5" x14ac:dyDescent="0.3">
      <c r="A28" s="25" t="s">
        <v>226</v>
      </c>
      <c r="B28" s="24"/>
      <c r="C28" s="24"/>
      <c r="D28" s="24"/>
      <c r="E28" s="24"/>
    </row>
    <row r="29" spans="1:5" x14ac:dyDescent="0.3">
      <c r="A29" s="26" t="s">
        <v>227</v>
      </c>
      <c r="B29" s="26" t="s">
        <v>218</v>
      </c>
      <c r="C29" s="24"/>
      <c r="D29" s="24"/>
      <c r="E29" s="24"/>
    </row>
    <row r="30" spans="1:5" x14ac:dyDescent="0.3">
      <c r="A30" s="24" t="s">
        <v>228</v>
      </c>
      <c r="B30" s="24">
        <f>COUNTIF(Organigramme!$I$4:$I$64,$A30)</f>
        <v>0</v>
      </c>
      <c r="C30" s="24"/>
      <c r="D30" s="24"/>
      <c r="E30" s="24"/>
    </row>
    <row r="31" spans="1:5" x14ac:dyDescent="0.3">
      <c r="A31" s="24" t="s">
        <v>229</v>
      </c>
      <c r="B31" s="24">
        <f>COUNTIF(Organigramme!$I$4:$I$64,$A31)</f>
        <v>0</v>
      </c>
      <c r="C31" s="24"/>
      <c r="D31" s="24"/>
      <c r="E31" s="24"/>
    </row>
    <row r="32" spans="1:5" x14ac:dyDescent="0.3">
      <c r="A32" s="24" t="s">
        <v>230</v>
      </c>
      <c r="B32" s="24">
        <f>COUNTIF(Organigramme!$I$4:$I$64,$A32)</f>
        <v>0</v>
      </c>
      <c r="C32" s="24"/>
      <c r="D32" s="24"/>
      <c r="E32" s="24"/>
    </row>
    <row r="33" spans="1:5" x14ac:dyDescent="0.3">
      <c r="A33" s="24" t="s">
        <v>260</v>
      </c>
      <c r="B33" s="24">
        <f>COUNTIF(Organigramme!$I$4:$I$64,$A33)</f>
        <v>0</v>
      </c>
      <c r="C33" s="24"/>
      <c r="D33" s="24"/>
      <c r="E33" s="24"/>
    </row>
    <row r="34" spans="1:5" x14ac:dyDescent="0.3">
      <c r="A34" s="24"/>
      <c r="B34" s="24"/>
      <c r="C34" s="24"/>
      <c r="D34" s="24"/>
      <c r="E34" s="24"/>
    </row>
    <row r="35" spans="1:5" x14ac:dyDescent="0.3">
      <c r="A35" s="25" t="s">
        <v>231</v>
      </c>
      <c r="B35" s="24"/>
      <c r="C35" s="24"/>
      <c r="D35" s="24"/>
      <c r="E35" s="24"/>
    </row>
    <row r="36" spans="1:5" x14ac:dyDescent="0.3">
      <c r="A36" s="26" t="s">
        <v>232</v>
      </c>
      <c r="B36" s="26" t="s">
        <v>218</v>
      </c>
      <c r="C36" s="24"/>
      <c r="D36" s="24"/>
      <c r="E36" s="24"/>
    </row>
    <row r="37" spans="1:5" x14ac:dyDescent="0.3">
      <c r="A37" s="24" t="s">
        <v>15</v>
      </c>
      <c r="B37" s="24">
        <f>COUNTIF(Organigramme!$J$4:$J$64,$A37)</f>
        <v>0</v>
      </c>
      <c r="C37" s="24"/>
      <c r="D37" s="24"/>
      <c r="E37" s="24"/>
    </row>
    <row r="38" spans="1:5" x14ac:dyDescent="0.3">
      <c r="A38" s="24" t="s">
        <v>132</v>
      </c>
      <c r="B38" s="24">
        <f>COUNTIF(Organigramme!$J$4:$J$64,$A38)</f>
        <v>0</v>
      </c>
      <c r="C38" s="24"/>
      <c r="D38" s="24"/>
      <c r="E38" s="24"/>
    </row>
    <row r="39" spans="1:5" x14ac:dyDescent="0.3">
      <c r="A39" s="24" t="s">
        <v>179</v>
      </c>
      <c r="B39" s="24">
        <f>COUNTIF(Organigramme!$J$4:$J$64,$A39)</f>
        <v>0</v>
      </c>
      <c r="C39" s="24"/>
      <c r="D39" s="24"/>
      <c r="E39" s="24"/>
    </row>
    <row r="40" spans="1:5" x14ac:dyDescent="0.3">
      <c r="A40" s="24" t="s">
        <v>103</v>
      </c>
      <c r="B40" s="24">
        <f>COUNTIF(Organigramme!$J$4:$J$64,$A40)</f>
        <v>0</v>
      </c>
      <c r="C40" s="24"/>
      <c r="D40" s="24"/>
      <c r="E40" s="24"/>
    </row>
    <row r="41" spans="1:5" x14ac:dyDescent="0.3">
      <c r="A41" s="24" t="s">
        <v>262</v>
      </c>
      <c r="B41" s="24">
        <f>COUNTIF(Organigramme!$J$4:$J$64,$A41)</f>
        <v>0</v>
      </c>
      <c r="C41" s="24"/>
      <c r="D41" s="24"/>
      <c r="E41" s="24"/>
    </row>
    <row r="42" spans="1:5" x14ac:dyDescent="0.3">
      <c r="A42" s="24"/>
      <c r="B42" s="24"/>
      <c r="C42" s="24"/>
      <c r="D42" s="24"/>
      <c r="E42" s="24"/>
    </row>
    <row r="43" spans="1:5" x14ac:dyDescent="0.3">
      <c r="A43" s="24" t="s">
        <v>233</v>
      </c>
      <c r="B43" s="24">
        <f>COUNTIF(Organigramme!$L$4:$L$64,"Gratuit")</f>
        <v>0</v>
      </c>
      <c r="C43" s="24"/>
      <c r="D43" s="24"/>
      <c r="E43" s="29" t="s">
        <v>235</v>
      </c>
    </row>
    <row r="44" spans="1:5" x14ac:dyDescent="0.3">
      <c r="A44" s="24" t="s">
        <v>234</v>
      </c>
      <c r="B44" s="24">
        <f>COUNTIF(Organigramme!$L$4:$L$64,"Payant")</f>
        <v>0</v>
      </c>
      <c r="C44" s="24"/>
      <c r="D44" s="24"/>
      <c r="E44" s="24"/>
    </row>
    <row r="45" spans="1:5" x14ac:dyDescent="0.3">
      <c r="A45" s="24"/>
      <c r="B45" s="24"/>
      <c r="C45" s="24"/>
      <c r="D45" s="24"/>
      <c r="E45" s="2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79BA-306C-46CD-8CED-62468BD6B575}">
  <dimension ref="A1:C40"/>
  <sheetViews>
    <sheetView workbookViewId="0"/>
  </sheetViews>
  <sheetFormatPr baseColWidth="10" defaultRowHeight="14.4" x14ac:dyDescent="0.3"/>
  <cols>
    <col min="1" max="1" width="26.77734375" customWidth="1"/>
    <col min="2" max="2" width="78.77734375" customWidth="1"/>
  </cols>
  <sheetData>
    <row r="1" spans="1:3" ht="16.8" x14ac:dyDescent="0.3">
      <c r="A1" s="37" t="s">
        <v>236</v>
      </c>
      <c r="B1" s="37"/>
      <c r="C1" s="37"/>
    </row>
    <row r="2" spans="1:3" x14ac:dyDescent="0.3">
      <c r="A2" s="30"/>
      <c r="B2" s="30"/>
      <c r="C2" s="30"/>
    </row>
    <row r="3" spans="1:3" ht="28.05" customHeight="1" x14ac:dyDescent="0.3">
      <c r="A3" s="31" t="s">
        <v>237</v>
      </c>
      <c r="B3" s="32" t="s">
        <v>238</v>
      </c>
      <c r="C3" s="30"/>
    </row>
    <row r="4" spans="1:3" ht="7.95" customHeight="1" x14ac:dyDescent="0.3">
      <c r="A4" s="31"/>
      <c r="B4" s="32"/>
      <c r="C4" s="30"/>
    </row>
    <row r="5" spans="1:3" ht="28.05" customHeight="1" x14ac:dyDescent="0.3">
      <c r="A5" s="31" t="s">
        <v>239</v>
      </c>
      <c r="B5" s="32" t="s">
        <v>240</v>
      </c>
      <c r="C5" s="30"/>
    </row>
    <row r="6" spans="1:3" ht="28.05" customHeight="1" x14ac:dyDescent="0.3">
      <c r="A6" s="31" t="s">
        <v>241</v>
      </c>
      <c r="B6" s="32" t="s">
        <v>242</v>
      </c>
      <c r="C6" s="30"/>
    </row>
    <row r="7" spans="1:3" ht="28.05" customHeight="1" x14ac:dyDescent="0.3">
      <c r="A7" s="31" t="s">
        <v>243</v>
      </c>
      <c r="B7" s="32" t="s">
        <v>244</v>
      </c>
      <c r="C7" s="30"/>
    </row>
    <row r="8" spans="1:3" ht="28.05" customHeight="1" x14ac:dyDescent="0.3">
      <c r="A8" s="31" t="s">
        <v>245</v>
      </c>
      <c r="B8" s="32" t="s">
        <v>246</v>
      </c>
      <c r="C8" s="30"/>
    </row>
    <row r="9" spans="1:3" ht="28.05" customHeight="1" x14ac:dyDescent="0.3">
      <c r="A9" s="31" t="s">
        <v>247</v>
      </c>
      <c r="B9" s="32" t="s">
        <v>248</v>
      </c>
      <c r="C9" s="30"/>
    </row>
    <row r="10" spans="1:3" ht="28.05" customHeight="1" x14ac:dyDescent="0.3">
      <c r="A10" s="31" t="s">
        <v>249</v>
      </c>
      <c r="B10" s="32" t="s">
        <v>250</v>
      </c>
      <c r="C10" s="30"/>
    </row>
    <row r="11" spans="1:3" ht="7.95" customHeight="1" x14ac:dyDescent="0.3">
      <c r="A11" s="31"/>
      <c r="B11" s="32"/>
      <c r="C11" s="30"/>
    </row>
    <row r="12" spans="1:3" ht="28.05" customHeight="1" x14ac:dyDescent="0.3">
      <c r="A12" s="31" t="s">
        <v>251</v>
      </c>
      <c r="B12" s="32" t="s">
        <v>252</v>
      </c>
      <c r="C12" s="30"/>
    </row>
    <row r="13" spans="1:3" ht="28.05" customHeight="1" x14ac:dyDescent="0.3">
      <c r="A13" s="31" t="s">
        <v>253</v>
      </c>
      <c r="B13" s="32" t="s">
        <v>254</v>
      </c>
      <c r="C13" s="30"/>
    </row>
    <row r="14" spans="1:3" ht="7.95" customHeight="1" x14ac:dyDescent="0.3">
      <c r="A14" s="31"/>
      <c r="B14" s="32"/>
      <c r="C14" s="30"/>
    </row>
    <row r="15" spans="1:3" ht="28.05" customHeight="1" x14ac:dyDescent="0.3">
      <c r="A15" s="31" t="s">
        <v>255</v>
      </c>
      <c r="B15" s="32" t="s">
        <v>256</v>
      </c>
      <c r="C15" s="30"/>
    </row>
    <row r="16" spans="1:3" ht="7.95" customHeight="1" x14ac:dyDescent="0.3">
      <c r="A16" s="31"/>
      <c r="B16" s="32"/>
      <c r="C16" s="30"/>
    </row>
    <row r="17" spans="1:3" ht="28.05" customHeight="1" x14ac:dyDescent="0.3">
      <c r="A17" s="31" t="s">
        <v>257</v>
      </c>
      <c r="B17" s="32" t="s">
        <v>258</v>
      </c>
      <c r="C17" s="30"/>
    </row>
    <row r="18" spans="1:3" x14ac:dyDescent="0.3">
      <c r="A18" s="30"/>
      <c r="B18" s="30"/>
      <c r="C18" s="30"/>
    </row>
    <row r="19" spans="1:3" x14ac:dyDescent="0.3">
      <c r="A19" s="33" t="s">
        <v>259</v>
      </c>
      <c r="B19" s="30"/>
      <c r="C19" s="30"/>
    </row>
    <row r="20" spans="1:3" x14ac:dyDescent="0.3">
      <c r="A20" s="31" t="s">
        <v>10</v>
      </c>
      <c r="B20" s="34" t="s">
        <v>260</v>
      </c>
      <c r="C20" s="30"/>
    </row>
    <row r="21" spans="1:3" x14ac:dyDescent="0.3">
      <c r="A21" s="31" t="s">
        <v>11</v>
      </c>
      <c r="B21" s="34" t="s">
        <v>132</v>
      </c>
      <c r="C21" s="30"/>
    </row>
    <row r="22" spans="1:3" x14ac:dyDescent="0.3">
      <c r="A22" s="31" t="s">
        <v>12</v>
      </c>
      <c r="B22" s="34">
        <v>3</v>
      </c>
      <c r="C22" s="30"/>
    </row>
    <row r="23" spans="1:3" x14ac:dyDescent="0.3">
      <c r="A23" s="31" t="s">
        <v>13</v>
      </c>
      <c r="B23" s="34" t="s">
        <v>136</v>
      </c>
      <c r="C23" s="30"/>
    </row>
    <row r="24" spans="1:3" x14ac:dyDescent="0.3">
      <c r="A24" s="31" t="s">
        <v>14</v>
      </c>
      <c r="B24" s="34" t="s">
        <v>261</v>
      </c>
      <c r="C24" s="30"/>
    </row>
    <row r="25" spans="1:3" x14ac:dyDescent="0.3">
      <c r="A25" s="30"/>
      <c r="B25" s="30"/>
      <c r="C25" s="30"/>
    </row>
    <row r="26" spans="1:3" x14ac:dyDescent="0.3">
      <c r="A26" s="30"/>
      <c r="B26" s="30"/>
      <c r="C26" s="30"/>
    </row>
    <row r="27" spans="1:3" x14ac:dyDescent="0.3">
      <c r="A27" s="30"/>
      <c r="B27" s="30"/>
      <c r="C27" s="30"/>
    </row>
    <row r="28" spans="1:3" x14ac:dyDescent="0.3">
      <c r="A28" s="30"/>
      <c r="B28" s="30"/>
      <c r="C28" s="30"/>
    </row>
    <row r="29" spans="1:3" x14ac:dyDescent="0.3">
      <c r="A29" s="30"/>
      <c r="B29" s="30"/>
      <c r="C29" s="30"/>
    </row>
    <row r="30" spans="1:3" x14ac:dyDescent="0.3">
      <c r="A30" s="30"/>
      <c r="B30" s="30"/>
      <c r="C30" s="30"/>
    </row>
    <row r="31" spans="1:3" x14ac:dyDescent="0.3">
      <c r="A31" s="30"/>
      <c r="B31" s="30"/>
      <c r="C31" s="30"/>
    </row>
    <row r="32" spans="1:3" x14ac:dyDescent="0.3">
      <c r="A32" s="30"/>
      <c r="B32" s="30"/>
      <c r="C32" s="30"/>
    </row>
    <row r="33" spans="1:3" x14ac:dyDescent="0.3">
      <c r="A33" s="30"/>
      <c r="B33" s="30"/>
      <c r="C33" s="30"/>
    </row>
    <row r="34" spans="1:3" x14ac:dyDescent="0.3">
      <c r="A34" s="30"/>
      <c r="B34" s="30"/>
      <c r="C34" s="30"/>
    </row>
    <row r="35" spans="1:3" x14ac:dyDescent="0.3">
      <c r="A35" s="30"/>
      <c r="B35" s="30"/>
      <c r="C35" s="30"/>
    </row>
    <row r="36" spans="1:3" x14ac:dyDescent="0.3">
      <c r="A36" s="30"/>
      <c r="B36" s="30"/>
      <c r="C36" s="30"/>
    </row>
    <row r="37" spans="1:3" x14ac:dyDescent="0.3">
      <c r="A37" s="30"/>
      <c r="B37" s="30"/>
      <c r="C37" s="30"/>
    </row>
    <row r="38" spans="1:3" x14ac:dyDescent="0.3">
      <c r="A38" s="30"/>
      <c r="B38" s="30"/>
      <c r="C38" s="30"/>
    </row>
    <row r="39" spans="1:3" x14ac:dyDescent="0.3">
      <c r="A39" s="30"/>
      <c r="B39" s="30"/>
      <c r="C39" s="30"/>
    </row>
    <row r="40" spans="1:3" x14ac:dyDescent="0.3">
      <c r="A40" s="30"/>
      <c r="B40" s="30"/>
      <c r="C40" s="3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Organigramme</vt:lpstr>
      <vt:lpstr>Arbitrage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BILLARD</dc:creator>
  <cp:lastModifiedBy>Didier BILLARD</cp:lastModifiedBy>
  <dcterms:created xsi:type="dcterms:W3CDTF">2026-07-26T07:00:01Z</dcterms:created>
  <dcterms:modified xsi:type="dcterms:W3CDTF">2026-07-26T07:07:43Z</dcterms:modified>
</cp:coreProperties>
</file>